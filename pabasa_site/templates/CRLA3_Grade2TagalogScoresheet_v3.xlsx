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ecmon\My Drive\DepEd-TESDA\Assessment\CRLA\Scoresheet\Template\Tagalog\"/>
    </mc:Choice>
  </mc:AlternateContent>
  <xr:revisionPtr revIDLastSave="0" documentId="13_ncr:1_{39832325-9FD8-483C-88AC-7ED92749E4C9}" xr6:coauthVersionLast="47" xr6:coauthVersionMax="47" xr10:uidLastSave="{00000000-0000-0000-0000-000000000000}"/>
  <workbookProtection workbookAlgorithmName="SHA-512" workbookHashValue="UM6o5XEEDNoWpHlMWzb1bJGU4gbXbasM5m/sneL1Gcr8P/H3OSNzgyqyPM4OqFNZ5JfDXnEcmlQcWC2ZloHBEw==" workbookSaltValue="vEIAN6k6frO5Mt7ovYGLoQ==" workbookSpinCount="100000" lockStructure="1"/>
  <bookViews>
    <workbookView xWindow="-108" yWindow="-108" windowWidth="23256" windowHeight="12456" xr2:uid="{D501B255-9284-4472-90C8-6B6C392E841B}"/>
  </bookViews>
  <sheets>
    <sheet name="G2 MT Reading Scoresheet" sheetId="1" r:id="rId1"/>
    <sheet name="G2 FIL Reading Scoresheet" sheetId="7" r:id="rId2"/>
    <sheet name="Class Record" sheetId="3" r:id="rId3"/>
    <sheet name="Class Summary" sheetId="2" r:id="rId4"/>
    <sheet name="Scoring Reference" sheetId="5" r:id="rId5"/>
    <sheet name="List" sheetId="4" state="hidden" r:id="rId6"/>
  </sheets>
  <definedNames>
    <definedName name="_xlnm._FilterDatabase" localSheetId="2" hidden="1">'Class Record'!$A$8:$R$8</definedName>
    <definedName name="_xlnm._FilterDatabase" localSheetId="1" hidden="1">'G2 FIL Reading Scoresheet'!$B$10:$U$10</definedName>
    <definedName name="_xlnm._FilterDatabase" localSheetId="0" hidden="1">'G2 MT Reading Scoresheet'!$C$10:$U$110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2" l="1"/>
  <c r="M11" i="2"/>
  <c r="L11" i="2"/>
  <c r="T110" i="7"/>
  <c r="S110" i="7"/>
  <c r="R110" i="7"/>
  <c r="O110" i="7"/>
  <c r="N110" i="7"/>
  <c r="L110" i="7"/>
  <c r="K110" i="7"/>
  <c r="T109" i="7"/>
  <c r="S109" i="7"/>
  <c r="R109" i="7"/>
  <c r="O109" i="7"/>
  <c r="N109" i="7"/>
  <c r="L109" i="7"/>
  <c r="K109" i="7"/>
  <c r="T108" i="7"/>
  <c r="S108" i="7"/>
  <c r="R108" i="7"/>
  <c r="O108" i="7"/>
  <c r="N108" i="7"/>
  <c r="L108" i="7"/>
  <c r="K108" i="7"/>
  <c r="T107" i="7"/>
  <c r="S107" i="7"/>
  <c r="R107" i="7"/>
  <c r="O107" i="7"/>
  <c r="N107" i="7"/>
  <c r="L107" i="7"/>
  <c r="K107" i="7"/>
  <c r="T106" i="7"/>
  <c r="S106" i="7"/>
  <c r="R106" i="7"/>
  <c r="O106" i="7"/>
  <c r="N106" i="7"/>
  <c r="L106" i="7"/>
  <c r="K106" i="7"/>
  <c r="T105" i="7"/>
  <c r="S105" i="7"/>
  <c r="R105" i="7"/>
  <c r="O105" i="7"/>
  <c r="N105" i="7"/>
  <c r="L105" i="7"/>
  <c r="K105" i="7"/>
  <c r="T104" i="7"/>
  <c r="S104" i="7"/>
  <c r="R104" i="7"/>
  <c r="O104" i="7"/>
  <c r="N104" i="7"/>
  <c r="L104" i="7"/>
  <c r="K104" i="7"/>
  <c r="T103" i="7"/>
  <c r="S103" i="7"/>
  <c r="R103" i="7"/>
  <c r="O103" i="7"/>
  <c r="N103" i="7"/>
  <c r="L103" i="7"/>
  <c r="K103" i="7"/>
  <c r="T102" i="7"/>
  <c r="S102" i="7"/>
  <c r="R102" i="7"/>
  <c r="O102" i="7"/>
  <c r="N102" i="7"/>
  <c r="L102" i="7"/>
  <c r="K102" i="7"/>
  <c r="T101" i="7"/>
  <c r="S101" i="7"/>
  <c r="R101" i="7"/>
  <c r="O101" i="7"/>
  <c r="N101" i="7"/>
  <c r="L101" i="7"/>
  <c r="K101" i="7"/>
  <c r="T100" i="7"/>
  <c r="S100" i="7"/>
  <c r="R100" i="7"/>
  <c r="O100" i="7"/>
  <c r="N100" i="7"/>
  <c r="L100" i="7"/>
  <c r="K100" i="7"/>
  <c r="T99" i="7"/>
  <c r="S99" i="7"/>
  <c r="R99" i="7"/>
  <c r="O99" i="7"/>
  <c r="N99" i="7"/>
  <c r="L99" i="7"/>
  <c r="K99" i="7"/>
  <c r="T98" i="7"/>
  <c r="S98" i="7"/>
  <c r="R98" i="7"/>
  <c r="O98" i="7"/>
  <c r="N98" i="7"/>
  <c r="L98" i="7"/>
  <c r="K98" i="7"/>
  <c r="T97" i="7"/>
  <c r="S97" i="7"/>
  <c r="R97" i="7"/>
  <c r="O97" i="7"/>
  <c r="N97" i="7"/>
  <c r="L97" i="7"/>
  <c r="K97" i="7"/>
  <c r="T96" i="7"/>
  <c r="S96" i="7"/>
  <c r="R96" i="7"/>
  <c r="O96" i="7"/>
  <c r="N96" i="7"/>
  <c r="L96" i="7"/>
  <c r="K96" i="7"/>
  <c r="T95" i="7"/>
  <c r="S95" i="7"/>
  <c r="R95" i="7"/>
  <c r="O95" i="7"/>
  <c r="N95" i="7"/>
  <c r="L95" i="7"/>
  <c r="K95" i="7"/>
  <c r="T94" i="7"/>
  <c r="S94" i="7"/>
  <c r="R94" i="7"/>
  <c r="O94" i="7"/>
  <c r="N94" i="7"/>
  <c r="L94" i="7"/>
  <c r="K94" i="7"/>
  <c r="T93" i="7"/>
  <c r="S93" i="7"/>
  <c r="R93" i="7"/>
  <c r="O93" i="7"/>
  <c r="N93" i="7"/>
  <c r="L93" i="7"/>
  <c r="K93" i="7"/>
  <c r="T92" i="7"/>
  <c r="S92" i="7"/>
  <c r="R92" i="7"/>
  <c r="O92" i="7"/>
  <c r="N92" i="7"/>
  <c r="L92" i="7"/>
  <c r="K92" i="7"/>
  <c r="T91" i="7"/>
  <c r="S91" i="7"/>
  <c r="R91" i="7"/>
  <c r="O91" i="7"/>
  <c r="N91" i="7"/>
  <c r="L91" i="7"/>
  <c r="K91" i="7"/>
  <c r="T90" i="7"/>
  <c r="S90" i="7"/>
  <c r="R90" i="7"/>
  <c r="O90" i="7"/>
  <c r="N90" i="7"/>
  <c r="L90" i="7"/>
  <c r="K90" i="7"/>
  <c r="T89" i="7"/>
  <c r="S89" i="7"/>
  <c r="R89" i="7"/>
  <c r="O89" i="7"/>
  <c r="N89" i="7"/>
  <c r="L89" i="7"/>
  <c r="K89" i="7"/>
  <c r="T88" i="7"/>
  <c r="S88" i="7"/>
  <c r="R88" i="7"/>
  <c r="O88" i="7"/>
  <c r="N88" i="7"/>
  <c r="L88" i="7"/>
  <c r="K88" i="7"/>
  <c r="T87" i="7"/>
  <c r="S87" i="7"/>
  <c r="R87" i="7"/>
  <c r="O87" i="7"/>
  <c r="N87" i="7"/>
  <c r="L87" i="7"/>
  <c r="K87" i="7"/>
  <c r="T86" i="7"/>
  <c r="S86" i="7"/>
  <c r="R86" i="7"/>
  <c r="O86" i="7"/>
  <c r="N86" i="7"/>
  <c r="L86" i="7"/>
  <c r="K86" i="7"/>
  <c r="T85" i="7"/>
  <c r="S85" i="7"/>
  <c r="R85" i="7"/>
  <c r="O85" i="7"/>
  <c r="N85" i="7"/>
  <c r="L85" i="7"/>
  <c r="K85" i="7"/>
  <c r="T84" i="7"/>
  <c r="S84" i="7"/>
  <c r="R84" i="7"/>
  <c r="O84" i="7"/>
  <c r="N84" i="7"/>
  <c r="L84" i="7"/>
  <c r="K84" i="7"/>
  <c r="T83" i="7"/>
  <c r="S83" i="7"/>
  <c r="R83" i="7"/>
  <c r="O83" i="7"/>
  <c r="N83" i="7"/>
  <c r="L83" i="7"/>
  <c r="K83" i="7"/>
  <c r="T82" i="7"/>
  <c r="S82" i="7"/>
  <c r="R82" i="7"/>
  <c r="O82" i="7"/>
  <c r="N82" i="7"/>
  <c r="L82" i="7"/>
  <c r="K82" i="7"/>
  <c r="T81" i="7"/>
  <c r="S81" i="7"/>
  <c r="R81" i="7"/>
  <c r="O81" i="7"/>
  <c r="N81" i="7"/>
  <c r="L81" i="7"/>
  <c r="K81" i="7"/>
  <c r="T80" i="7"/>
  <c r="S80" i="7"/>
  <c r="R80" i="7"/>
  <c r="O80" i="7"/>
  <c r="N80" i="7"/>
  <c r="L80" i="7"/>
  <c r="K80" i="7"/>
  <c r="T79" i="7"/>
  <c r="S79" i="7"/>
  <c r="R79" i="7"/>
  <c r="O79" i="7"/>
  <c r="N79" i="7"/>
  <c r="L79" i="7"/>
  <c r="K79" i="7"/>
  <c r="T78" i="7"/>
  <c r="S78" i="7"/>
  <c r="R78" i="7"/>
  <c r="O78" i="7"/>
  <c r="N78" i="7"/>
  <c r="L78" i="7"/>
  <c r="K78" i="7"/>
  <c r="T77" i="7"/>
  <c r="S77" i="7"/>
  <c r="R77" i="7"/>
  <c r="O77" i="7"/>
  <c r="N77" i="7"/>
  <c r="L77" i="7"/>
  <c r="K77" i="7"/>
  <c r="T76" i="7"/>
  <c r="S76" i="7"/>
  <c r="R76" i="7"/>
  <c r="O76" i="7"/>
  <c r="N76" i="7"/>
  <c r="L76" i="7"/>
  <c r="K76" i="7"/>
  <c r="T75" i="7"/>
  <c r="S75" i="7"/>
  <c r="R75" i="7"/>
  <c r="O75" i="7"/>
  <c r="N75" i="7"/>
  <c r="L75" i="7"/>
  <c r="K75" i="7"/>
  <c r="T74" i="7"/>
  <c r="S74" i="7"/>
  <c r="R74" i="7"/>
  <c r="O74" i="7"/>
  <c r="N74" i="7"/>
  <c r="L74" i="7"/>
  <c r="K74" i="7"/>
  <c r="T73" i="7"/>
  <c r="S73" i="7"/>
  <c r="R73" i="7"/>
  <c r="O73" i="7"/>
  <c r="N73" i="7"/>
  <c r="L73" i="7"/>
  <c r="K73" i="7"/>
  <c r="T72" i="7"/>
  <c r="S72" i="7"/>
  <c r="R72" i="7"/>
  <c r="O72" i="7"/>
  <c r="N72" i="7"/>
  <c r="L72" i="7"/>
  <c r="K72" i="7"/>
  <c r="T71" i="7"/>
  <c r="S71" i="7"/>
  <c r="R71" i="7"/>
  <c r="O71" i="7"/>
  <c r="N71" i="7"/>
  <c r="L71" i="7"/>
  <c r="K71" i="7"/>
  <c r="T70" i="7"/>
  <c r="S70" i="7"/>
  <c r="R70" i="7"/>
  <c r="O70" i="7"/>
  <c r="N70" i="7"/>
  <c r="L70" i="7"/>
  <c r="K70" i="7"/>
  <c r="T69" i="7"/>
  <c r="S69" i="7"/>
  <c r="R69" i="7"/>
  <c r="O69" i="7"/>
  <c r="N69" i="7"/>
  <c r="L69" i="7"/>
  <c r="K69" i="7"/>
  <c r="T68" i="7"/>
  <c r="S68" i="7"/>
  <c r="R68" i="7"/>
  <c r="O68" i="7"/>
  <c r="N68" i="7"/>
  <c r="L68" i="7"/>
  <c r="K68" i="7"/>
  <c r="T67" i="7"/>
  <c r="S67" i="7"/>
  <c r="R67" i="7"/>
  <c r="O67" i="7"/>
  <c r="N67" i="7"/>
  <c r="L67" i="7"/>
  <c r="K67" i="7"/>
  <c r="T66" i="7"/>
  <c r="S66" i="7"/>
  <c r="R66" i="7"/>
  <c r="O66" i="7"/>
  <c r="N66" i="7"/>
  <c r="L66" i="7"/>
  <c r="K66" i="7"/>
  <c r="T65" i="7"/>
  <c r="S65" i="7"/>
  <c r="R65" i="7"/>
  <c r="O65" i="7"/>
  <c r="N65" i="7"/>
  <c r="L65" i="7"/>
  <c r="K65" i="7"/>
  <c r="T64" i="7"/>
  <c r="S64" i="7"/>
  <c r="R64" i="7"/>
  <c r="O64" i="7"/>
  <c r="N64" i="7"/>
  <c r="L64" i="7"/>
  <c r="K64" i="7"/>
  <c r="T63" i="7"/>
  <c r="S63" i="7"/>
  <c r="R63" i="7"/>
  <c r="O63" i="7"/>
  <c r="N63" i="7"/>
  <c r="L63" i="7"/>
  <c r="K63" i="7"/>
  <c r="T62" i="7"/>
  <c r="S62" i="7"/>
  <c r="R62" i="7"/>
  <c r="O62" i="7"/>
  <c r="N62" i="7"/>
  <c r="L62" i="7"/>
  <c r="K62" i="7"/>
  <c r="T61" i="7"/>
  <c r="S61" i="7"/>
  <c r="R61" i="7"/>
  <c r="O61" i="7"/>
  <c r="N61" i="7"/>
  <c r="L61" i="7"/>
  <c r="K61" i="7"/>
  <c r="T60" i="7"/>
  <c r="S60" i="7"/>
  <c r="R60" i="7"/>
  <c r="O60" i="7"/>
  <c r="N60" i="7"/>
  <c r="L60" i="7"/>
  <c r="K60" i="7"/>
  <c r="T59" i="7"/>
  <c r="S59" i="7"/>
  <c r="R59" i="7"/>
  <c r="O59" i="7"/>
  <c r="N59" i="7"/>
  <c r="L59" i="7"/>
  <c r="K59" i="7"/>
  <c r="T58" i="7"/>
  <c r="S58" i="7"/>
  <c r="R58" i="7"/>
  <c r="O58" i="7"/>
  <c r="N58" i="7"/>
  <c r="L58" i="7"/>
  <c r="K58" i="7"/>
  <c r="T57" i="7"/>
  <c r="S57" i="7"/>
  <c r="R57" i="7"/>
  <c r="O57" i="7"/>
  <c r="N57" i="7"/>
  <c r="L57" i="7"/>
  <c r="K57" i="7"/>
  <c r="T56" i="7"/>
  <c r="S56" i="7"/>
  <c r="R56" i="7"/>
  <c r="O56" i="7"/>
  <c r="N56" i="7"/>
  <c r="L56" i="7"/>
  <c r="K56" i="7"/>
  <c r="T55" i="7"/>
  <c r="S55" i="7"/>
  <c r="R55" i="7"/>
  <c r="O55" i="7"/>
  <c r="N55" i="7"/>
  <c r="L55" i="7"/>
  <c r="K55" i="7"/>
  <c r="T54" i="7"/>
  <c r="S54" i="7"/>
  <c r="R54" i="7"/>
  <c r="O54" i="7"/>
  <c r="N54" i="7"/>
  <c r="L54" i="7"/>
  <c r="K54" i="7"/>
  <c r="T53" i="7"/>
  <c r="S53" i="7"/>
  <c r="R53" i="7"/>
  <c r="O53" i="7"/>
  <c r="N53" i="7"/>
  <c r="L53" i="7"/>
  <c r="K53" i="7"/>
  <c r="T52" i="7"/>
  <c r="S52" i="7"/>
  <c r="R52" i="7"/>
  <c r="O52" i="7"/>
  <c r="N52" i="7"/>
  <c r="L52" i="7"/>
  <c r="K52" i="7"/>
  <c r="T51" i="7"/>
  <c r="S51" i="7"/>
  <c r="R51" i="7"/>
  <c r="O51" i="7"/>
  <c r="N51" i="7"/>
  <c r="L51" i="7"/>
  <c r="K51" i="7"/>
  <c r="T50" i="7"/>
  <c r="S50" i="7"/>
  <c r="R50" i="7"/>
  <c r="O50" i="7"/>
  <c r="N50" i="7"/>
  <c r="L50" i="7"/>
  <c r="K50" i="7"/>
  <c r="T49" i="7"/>
  <c r="S49" i="7"/>
  <c r="R49" i="7"/>
  <c r="O49" i="7"/>
  <c r="N49" i="7"/>
  <c r="L49" i="7"/>
  <c r="K49" i="7"/>
  <c r="T48" i="7"/>
  <c r="S48" i="7"/>
  <c r="R48" i="7"/>
  <c r="O48" i="7"/>
  <c r="N48" i="7"/>
  <c r="L48" i="7"/>
  <c r="K48" i="7"/>
  <c r="T47" i="7"/>
  <c r="S47" i="7"/>
  <c r="R47" i="7"/>
  <c r="O47" i="7"/>
  <c r="N47" i="7"/>
  <c r="L47" i="7"/>
  <c r="K47" i="7"/>
  <c r="T46" i="7"/>
  <c r="S46" i="7"/>
  <c r="R46" i="7"/>
  <c r="O46" i="7"/>
  <c r="N46" i="7"/>
  <c r="L46" i="7"/>
  <c r="K46" i="7"/>
  <c r="T45" i="7"/>
  <c r="S45" i="7"/>
  <c r="R45" i="7"/>
  <c r="O45" i="7"/>
  <c r="N45" i="7"/>
  <c r="L45" i="7"/>
  <c r="K45" i="7"/>
  <c r="T44" i="7"/>
  <c r="S44" i="7"/>
  <c r="R44" i="7"/>
  <c r="O44" i="7"/>
  <c r="N44" i="7"/>
  <c r="L44" i="7"/>
  <c r="K44" i="7"/>
  <c r="T43" i="7"/>
  <c r="S43" i="7"/>
  <c r="R43" i="7"/>
  <c r="O43" i="7"/>
  <c r="N43" i="7"/>
  <c r="L43" i="7"/>
  <c r="K43" i="7"/>
  <c r="T42" i="7"/>
  <c r="S42" i="7"/>
  <c r="R42" i="7"/>
  <c r="O42" i="7"/>
  <c r="N42" i="7"/>
  <c r="L42" i="7"/>
  <c r="K42" i="7"/>
  <c r="T41" i="7"/>
  <c r="S41" i="7"/>
  <c r="R41" i="7"/>
  <c r="O41" i="7"/>
  <c r="N41" i="7"/>
  <c r="L41" i="7"/>
  <c r="K41" i="7"/>
  <c r="T40" i="7"/>
  <c r="S40" i="7"/>
  <c r="R40" i="7"/>
  <c r="O40" i="7"/>
  <c r="N40" i="7"/>
  <c r="L40" i="7"/>
  <c r="K40" i="7"/>
  <c r="T39" i="7"/>
  <c r="S39" i="7"/>
  <c r="R39" i="7"/>
  <c r="O39" i="7"/>
  <c r="N39" i="7"/>
  <c r="L39" i="7"/>
  <c r="K39" i="7"/>
  <c r="T38" i="7"/>
  <c r="S38" i="7"/>
  <c r="R38" i="7"/>
  <c r="O38" i="7"/>
  <c r="N38" i="7"/>
  <c r="L38" i="7"/>
  <c r="K38" i="7"/>
  <c r="T37" i="7"/>
  <c r="S37" i="7"/>
  <c r="R37" i="7"/>
  <c r="O37" i="7"/>
  <c r="N37" i="7"/>
  <c r="L37" i="7"/>
  <c r="K37" i="7"/>
  <c r="T36" i="7"/>
  <c r="S36" i="7"/>
  <c r="R36" i="7"/>
  <c r="O36" i="7"/>
  <c r="N36" i="7"/>
  <c r="L36" i="7"/>
  <c r="K36" i="7"/>
  <c r="T35" i="7"/>
  <c r="S35" i="7"/>
  <c r="R35" i="7"/>
  <c r="O35" i="7"/>
  <c r="N35" i="7"/>
  <c r="L35" i="7"/>
  <c r="K35" i="7"/>
  <c r="T34" i="7"/>
  <c r="S34" i="7"/>
  <c r="R34" i="7"/>
  <c r="O34" i="7"/>
  <c r="N34" i="7"/>
  <c r="L34" i="7"/>
  <c r="K34" i="7"/>
  <c r="T33" i="7"/>
  <c r="S33" i="7"/>
  <c r="R33" i="7"/>
  <c r="O33" i="7"/>
  <c r="N33" i="7"/>
  <c r="L33" i="7"/>
  <c r="K33" i="7"/>
  <c r="T32" i="7"/>
  <c r="S32" i="7"/>
  <c r="R32" i="7"/>
  <c r="O32" i="7"/>
  <c r="N32" i="7"/>
  <c r="L32" i="7"/>
  <c r="K32" i="7"/>
  <c r="T31" i="7"/>
  <c r="S31" i="7"/>
  <c r="R31" i="7"/>
  <c r="O31" i="7"/>
  <c r="N31" i="7"/>
  <c r="L31" i="7"/>
  <c r="K31" i="7"/>
  <c r="T30" i="7"/>
  <c r="S30" i="7"/>
  <c r="R30" i="7"/>
  <c r="O30" i="7"/>
  <c r="N30" i="7"/>
  <c r="L30" i="7"/>
  <c r="K30" i="7"/>
  <c r="T29" i="7"/>
  <c r="S29" i="7"/>
  <c r="R29" i="7"/>
  <c r="O29" i="7"/>
  <c r="N29" i="7"/>
  <c r="L29" i="7"/>
  <c r="K29" i="7"/>
  <c r="T28" i="7"/>
  <c r="S28" i="7"/>
  <c r="R28" i="7"/>
  <c r="O28" i="7"/>
  <c r="N28" i="7"/>
  <c r="L28" i="7"/>
  <c r="K28" i="7"/>
  <c r="T27" i="7"/>
  <c r="S27" i="7"/>
  <c r="R27" i="7"/>
  <c r="O27" i="7"/>
  <c r="N27" i="7"/>
  <c r="L27" i="7"/>
  <c r="K27" i="7"/>
  <c r="T26" i="7"/>
  <c r="S26" i="7"/>
  <c r="R26" i="7"/>
  <c r="O26" i="7"/>
  <c r="N26" i="7"/>
  <c r="L26" i="7"/>
  <c r="K26" i="7"/>
  <c r="T25" i="7"/>
  <c r="S25" i="7"/>
  <c r="R25" i="7"/>
  <c r="O25" i="7"/>
  <c r="N25" i="7"/>
  <c r="L25" i="7"/>
  <c r="K25" i="7"/>
  <c r="T24" i="7"/>
  <c r="S24" i="7"/>
  <c r="R24" i="7"/>
  <c r="O24" i="7"/>
  <c r="N24" i="7"/>
  <c r="L24" i="7"/>
  <c r="K24" i="7"/>
  <c r="T23" i="7"/>
  <c r="S23" i="7"/>
  <c r="R23" i="7"/>
  <c r="O23" i="7"/>
  <c r="N23" i="7"/>
  <c r="L23" i="7"/>
  <c r="K23" i="7"/>
  <c r="T22" i="7"/>
  <c r="S22" i="7"/>
  <c r="R22" i="7"/>
  <c r="O22" i="7"/>
  <c r="N22" i="7"/>
  <c r="L22" i="7"/>
  <c r="K22" i="7"/>
  <c r="T21" i="7"/>
  <c r="S21" i="7"/>
  <c r="R21" i="7"/>
  <c r="O21" i="7"/>
  <c r="N21" i="7"/>
  <c r="L21" i="7"/>
  <c r="K21" i="7"/>
  <c r="T20" i="7"/>
  <c r="S20" i="7"/>
  <c r="R20" i="7"/>
  <c r="O20" i="7"/>
  <c r="N20" i="7"/>
  <c r="L20" i="7"/>
  <c r="K20" i="7"/>
  <c r="T19" i="7"/>
  <c r="S19" i="7"/>
  <c r="R19" i="7"/>
  <c r="O19" i="7"/>
  <c r="N19" i="7"/>
  <c r="L19" i="7"/>
  <c r="K19" i="7"/>
  <c r="T18" i="7"/>
  <c r="S18" i="7"/>
  <c r="R18" i="7"/>
  <c r="O18" i="7"/>
  <c r="N18" i="7"/>
  <c r="L18" i="7"/>
  <c r="K18" i="7"/>
  <c r="T17" i="7"/>
  <c r="S17" i="7"/>
  <c r="R17" i="7"/>
  <c r="O17" i="7"/>
  <c r="N17" i="7"/>
  <c r="L17" i="7"/>
  <c r="K17" i="7"/>
  <c r="T16" i="7"/>
  <c r="S16" i="7"/>
  <c r="R16" i="7"/>
  <c r="O16" i="7"/>
  <c r="N16" i="7"/>
  <c r="L16" i="7"/>
  <c r="K16" i="7"/>
  <c r="T15" i="7"/>
  <c r="S15" i="7"/>
  <c r="R15" i="7"/>
  <c r="O15" i="7"/>
  <c r="N15" i="7"/>
  <c r="L15" i="7"/>
  <c r="K15" i="7"/>
  <c r="T14" i="7"/>
  <c r="S14" i="7"/>
  <c r="R14" i="7"/>
  <c r="O14" i="7"/>
  <c r="N14" i="7"/>
  <c r="L14" i="7"/>
  <c r="K14" i="7"/>
  <c r="T13" i="7"/>
  <c r="S13" i="7"/>
  <c r="R13" i="7"/>
  <c r="O13" i="7"/>
  <c r="N13" i="7"/>
  <c r="L13" i="7"/>
  <c r="K13" i="7"/>
  <c r="T12" i="7"/>
  <c r="S12" i="7"/>
  <c r="R12" i="7"/>
  <c r="O12" i="7"/>
  <c r="N12" i="7"/>
  <c r="L12" i="7"/>
  <c r="K12" i="7"/>
  <c r="T11" i="7"/>
  <c r="S11" i="7"/>
  <c r="R11" i="7"/>
  <c r="O11" i="7"/>
  <c r="N11" i="7"/>
  <c r="L11" i="7"/>
  <c r="K11" i="7"/>
  <c r="H110" i="7"/>
  <c r="G110" i="7"/>
  <c r="H109" i="7"/>
  <c r="G109" i="7"/>
  <c r="H108" i="7"/>
  <c r="G108" i="7"/>
  <c r="H107" i="7"/>
  <c r="G107" i="7"/>
  <c r="H106" i="7"/>
  <c r="G106" i="7"/>
  <c r="H105" i="7"/>
  <c r="G105" i="7"/>
  <c r="H104" i="7"/>
  <c r="G104" i="7"/>
  <c r="H103" i="7"/>
  <c r="G103" i="7"/>
  <c r="H102" i="7"/>
  <c r="G102" i="7"/>
  <c r="H101" i="7"/>
  <c r="G101" i="7"/>
  <c r="H100" i="7"/>
  <c r="G100" i="7"/>
  <c r="H99" i="7"/>
  <c r="G99" i="7"/>
  <c r="H98" i="7"/>
  <c r="G98" i="7"/>
  <c r="H97" i="7"/>
  <c r="G97" i="7"/>
  <c r="H96" i="7"/>
  <c r="G96" i="7"/>
  <c r="H95" i="7"/>
  <c r="G95" i="7"/>
  <c r="H94" i="7"/>
  <c r="G94" i="7"/>
  <c r="H93" i="7"/>
  <c r="G93" i="7"/>
  <c r="H92" i="7"/>
  <c r="G92" i="7"/>
  <c r="H91" i="7"/>
  <c r="G91" i="7"/>
  <c r="H90" i="7"/>
  <c r="G90" i="7"/>
  <c r="H89" i="7"/>
  <c r="G89" i="7"/>
  <c r="H88" i="7"/>
  <c r="G88" i="7"/>
  <c r="H87" i="7"/>
  <c r="G87" i="7"/>
  <c r="H86" i="7"/>
  <c r="G86" i="7"/>
  <c r="H85" i="7"/>
  <c r="G85" i="7"/>
  <c r="H84" i="7"/>
  <c r="G84" i="7"/>
  <c r="H83" i="7"/>
  <c r="G83" i="7"/>
  <c r="H82" i="7"/>
  <c r="G82" i="7"/>
  <c r="H81" i="7"/>
  <c r="G81" i="7"/>
  <c r="H80" i="7"/>
  <c r="G80" i="7"/>
  <c r="H79" i="7"/>
  <c r="G79" i="7"/>
  <c r="H78" i="7"/>
  <c r="G78" i="7"/>
  <c r="H77" i="7"/>
  <c r="G77" i="7"/>
  <c r="H76" i="7"/>
  <c r="G76" i="7"/>
  <c r="H75" i="7"/>
  <c r="G75" i="7"/>
  <c r="H74" i="7"/>
  <c r="G74" i="7"/>
  <c r="H73" i="7"/>
  <c r="G73" i="7"/>
  <c r="H72" i="7"/>
  <c r="G72" i="7"/>
  <c r="H71" i="7"/>
  <c r="G71" i="7"/>
  <c r="H70" i="7"/>
  <c r="G70" i="7"/>
  <c r="H69" i="7"/>
  <c r="G69" i="7"/>
  <c r="H68" i="7"/>
  <c r="G68" i="7"/>
  <c r="H67" i="7"/>
  <c r="G67" i="7"/>
  <c r="H66" i="7"/>
  <c r="G66" i="7"/>
  <c r="H65" i="7"/>
  <c r="G65" i="7"/>
  <c r="H64" i="7"/>
  <c r="G64" i="7"/>
  <c r="H63" i="7"/>
  <c r="G63" i="7"/>
  <c r="H62" i="7"/>
  <c r="G62" i="7"/>
  <c r="H61" i="7"/>
  <c r="G61" i="7"/>
  <c r="H60" i="7"/>
  <c r="G60" i="7"/>
  <c r="H59" i="7"/>
  <c r="G59" i="7"/>
  <c r="H58" i="7"/>
  <c r="G58" i="7"/>
  <c r="H57" i="7"/>
  <c r="G57" i="7"/>
  <c r="H56" i="7"/>
  <c r="G56" i="7"/>
  <c r="H55" i="7"/>
  <c r="G55" i="7"/>
  <c r="H54" i="7"/>
  <c r="G54" i="7"/>
  <c r="H53" i="7"/>
  <c r="G53" i="7"/>
  <c r="H52" i="7"/>
  <c r="G52" i="7"/>
  <c r="H51" i="7"/>
  <c r="G51" i="7"/>
  <c r="H50" i="7"/>
  <c r="G50" i="7"/>
  <c r="H49" i="7"/>
  <c r="G49" i="7"/>
  <c r="H48" i="7"/>
  <c r="G48" i="7"/>
  <c r="H47" i="7"/>
  <c r="G47" i="7"/>
  <c r="H46" i="7"/>
  <c r="G46" i="7"/>
  <c r="H45" i="7"/>
  <c r="G45" i="7"/>
  <c r="H44" i="7"/>
  <c r="G44" i="7"/>
  <c r="H43" i="7"/>
  <c r="G43" i="7"/>
  <c r="H42" i="7"/>
  <c r="G42" i="7"/>
  <c r="H41" i="7"/>
  <c r="G41" i="7"/>
  <c r="H40" i="7"/>
  <c r="G40" i="7"/>
  <c r="H39" i="7"/>
  <c r="G39" i="7"/>
  <c r="H38" i="7"/>
  <c r="G38" i="7"/>
  <c r="H37" i="7"/>
  <c r="G37" i="7"/>
  <c r="H36" i="7"/>
  <c r="G36" i="7"/>
  <c r="H35" i="7"/>
  <c r="G35" i="7"/>
  <c r="H34" i="7"/>
  <c r="G34" i="7"/>
  <c r="H33" i="7"/>
  <c r="G33" i="7"/>
  <c r="H32" i="7"/>
  <c r="G32" i="7"/>
  <c r="H31" i="7"/>
  <c r="G31" i="7"/>
  <c r="H30" i="7"/>
  <c r="G30" i="7"/>
  <c r="H29" i="7"/>
  <c r="G29" i="7"/>
  <c r="H28" i="7"/>
  <c r="G28" i="7"/>
  <c r="H27" i="7"/>
  <c r="G27" i="7"/>
  <c r="H26" i="7"/>
  <c r="G26" i="7"/>
  <c r="H25" i="7"/>
  <c r="G25" i="7"/>
  <c r="H24" i="7"/>
  <c r="G24" i="7"/>
  <c r="H23" i="7"/>
  <c r="G23" i="7"/>
  <c r="H22" i="7"/>
  <c r="G22" i="7"/>
  <c r="H21" i="7"/>
  <c r="G21" i="7"/>
  <c r="H20" i="7"/>
  <c r="G20" i="7"/>
  <c r="H19" i="7"/>
  <c r="G19" i="7"/>
  <c r="H18" i="7"/>
  <c r="G18" i="7"/>
  <c r="H17" i="7"/>
  <c r="G17" i="7"/>
  <c r="H16" i="7"/>
  <c r="G16" i="7"/>
  <c r="H15" i="7"/>
  <c r="G15" i="7"/>
  <c r="H14" i="7"/>
  <c r="G14" i="7"/>
  <c r="H13" i="7"/>
  <c r="G13" i="7"/>
  <c r="H12" i="7"/>
  <c r="G12" i="7"/>
  <c r="H11" i="7"/>
  <c r="G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Y110" i="1" l="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E6" i="3"/>
  <c r="I110" i="1" l="1"/>
  <c r="I109" i="1"/>
  <c r="I108" i="1"/>
  <c r="I107" i="1"/>
  <c r="I106" i="1"/>
  <c r="I105" i="1"/>
  <c r="I104" i="1"/>
  <c r="I103" i="1"/>
  <c r="I102" i="1"/>
  <c r="I101" i="1"/>
  <c r="I100" i="1"/>
  <c r="I99" i="1"/>
  <c r="I98" i="1"/>
  <c r="I97" i="1"/>
  <c r="I96" i="1"/>
  <c r="I96" i="7" s="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5" i="7" s="1"/>
  <c r="I54" i="1"/>
  <c r="I53" i="1"/>
  <c r="I52" i="1"/>
  <c r="I51" i="1"/>
  <c r="I50" i="1"/>
  <c r="I49" i="1"/>
  <c r="I49" i="7" s="1"/>
  <c r="I48" i="1"/>
  <c r="I47" i="1"/>
  <c r="I47" i="7" s="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J37" i="1" l="1"/>
  <c r="J37" i="7" s="1"/>
  <c r="I37" i="7"/>
  <c r="J83" i="1"/>
  <c r="I83" i="7"/>
  <c r="J13" i="1"/>
  <c r="J13" i="7" s="1"/>
  <c r="I13" i="7"/>
  <c r="J11" i="1"/>
  <c r="J11" i="7" s="1"/>
  <c r="I11" i="7"/>
  <c r="J27" i="1"/>
  <c r="J27" i="7" s="1"/>
  <c r="I27" i="7"/>
  <c r="J35" i="1"/>
  <c r="I35" i="7"/>
  <c r="J43" i="1"/>
  <c r="J43" i="7" s="1"/>
  <c r="I43" i="7"/>
  <c r="J51" i="1"/>
  <c r="J51" i="7" s="1"/>
  <c r="I51" i="7"/>
  <c r="J59" i="1"/>
  <c r="J59" i="7" s="1"/>
  <c r="I59" i="7"/>
  <c r="J67" i="1"/>
  <c r="J67" i="7" s="1"/>
  <c r="I67" i="7"/>
  <c r="J75" i="1"/>
  <c r="J75" i="7" s="1"/>
  <c r="I75" i="7"/>
  <c r="J91" i="1"/>
  <c r="I91" i="7"/>
  <c r="J99" i="1"/>
  <c r="I99" i="7"/>
  <c r="J107" i="1"/>
  <c r="I107" i="7"/>
  <c r="J12" i="1"/>
  <c r="J12" i="7" s="1"/>
  <c r="I12" i="7"/>
  <c r="J20" i="1"/>
  <c r="J20" i="7" s="1"/>
  <c r="I20" i="7"/>
  <c r="J28" i="1"/>
  <c r="J28" i="7" s="1"/>
  <c r="I28" i="7"/>
  <c r="J36" i="1"/>
  <c r="J36" i="7" s="1"/>
  <c r="I36" i="7"/>
  <c r="J44" i="1"/>
  <c r="J44" i="7" s="1"/>
  <c r="I44" i="7"/>
  <c r="J52" i="1"/>
  <c r="J52" i="7" s="1"/>
  <c r="I52" i="7"/>
  <c r="J60" i="1"/>
  <c r="J60" i="7" s="1"/>
  <c r="I60" i="7"/>
  <c r="J68" i="1"/>
  <c r="J68" i="7" s="1"/>
  <c r="I68" i="7"/>
  <c r="J76" i="1"/>
  <c r="J76" i="7" s="1"/>
  <c r="I76" i="7"/>
  <c r="J84" i="1"/>
  <c r="I84" i="7"/>
  <c r="J92" i="1"/>
  <c r="I92" i="7"/>
  <c r="J100" i="1"/>
  <c r="I100" i="7"/>
  <c r="J108" i="1"/>
  <c r="I108" i="7"/>
  <c r="J45" i="1"/>
  <c r="J45" i="7" s="1"/>
  <c r="I45" i="7"/>
  <c r="J93" i="1"/>
  <c r="I93" i="7"/>
  <c r="J22" i="1"/>
  <c r="I22" i="7"/>
  <c r="J54" i="1"/>
  <c r="J54" i="7" s="1"/>
  <c r="I54" i="7"/>
  <c r="J102" i="1"/>
  <c r="I102" i="7"/>
  <c r="J63" i="1"/>
  <c r="J63" i="7" s="1"/>
  <c r="I63" i="7"/>
  <c r="J71" i="1"/>
  <c r="J71" i="7" s="1"/>
  <c r="I71" i="7"/>
  <c r="J79" i="1"/>
  <c r="I79" i="7"/>
  <c r="J87" i="1"/>
  <c r="I87" i="7"/>
  <c r="J95" i="1"/>
  <c r="I95" i="7"/>
  <c r="J103" i="1"/>
  <c r="I103" i="7"/>
  <c r="J47" i="1"/>
  <c r="J47" i="7" s="1"/>
  <c r="J21" i="1"/>
  <c r="J21" i="7" s="1"/>
  <c r="I21" i="7"/>
  <c r="J69" i="1"/>
  <c r="J69" i="7" s="1"/>
  <c r="I69" i="7"/>
  <c r="J85" i="1"/>
  <c r="I85" i="7"/>
  <c r="J14" i="1"/>
  <c r="I14" i="7"/>
  <c r="J46" i="1"/>
  <c r="J46" i="7" s="1"/>
  <c r="I46" i="7"/>
  <c r="J78" i="1"/>
  <c r="I78" i="7"/>
  <c r="J94" i="1"/>
  <c r="I94" i="7"/>
  <c r="J31" i="1"/>
  <c r="J31" i="7" s="1"/>
  <c r="I31" i="7"/>
  <c r="J24" i="1"/>
  <c r="I24" i="7"/>
  <c r="J40" i="1"/>
  <c r="J40" i="7" s="1"/>
  <c r="I40" i="7"/>
  <c r="J48" i="1"/>
  <c r="J48" i="7" s="1"/>
  <c r="I48" i="7"/>
  <c r="J56" i="1"/>
  <c r="J56" i="7" s="1"/>
  <c r="I56" i="7"/>
  <c r="J64" i="1"/>
  <c r="J64" i="7" s="1"/>
  <c r="I64" i="7"/>
  <c r="J72" i="1"/>
  <c r="J72" i="7" s="1"/>
  <c r="I72" i="7"/>
  <c r="J80" i="1"/>
  <c r="I80" i="7"/>
  <c r="J88" i="1"/>
  <c r="I88" i="7"/>
  <c r="J104" i="1"/>
  <c r="I104" i="7"/>
  <c r="J49" i="1"/>
  <c r="J49" i="7" s="1"/>
  <c r="J29" i="1"/>
  <c r="J29" i="7" s="1"/>
  <c r="I29" i="7"/>
  <c r="J61" i="1"/>
  <c r="J61" i="7" s="1"/>
  <c r="I61" i="7"/>
  <c r="J77" i="1"/>
  <c r="I77" i="7"/>
  <c r="J101" i="1"/>
  <c r="I101" i="7"/>
  <c r="J30" i="1"/>
  <c r="I30" i="7"/>
  <c r="J62" i="1"/>
  <c r="J62" i="7" s="1"/>
  <c r="I62" i="7"/>
  <c r="J110" i="1"/>
  <c r="I110" i="7"/>
  <c r="J23" i="1"/>
  <c r="J23" i="7" s="1"/>
  <c r="I23" i="7"/>
  <c r="J16" i="1"/>
  <c r="J16" i="7" s="1"/>
  <c r="I16" i="7"/>
  <c r="J17" i="1"/>
  <c r="I17" i="7"/>
  <c r="J41" i="1"/>
  <c r="J41" i="7" s="1"/>
  <c r="I41" i="7"/>
  <c r="J57" i="1"/>
  <c r="J57" i="7" s="1"/>
  <c r="I57" i="7"/>
  <c r="J65" i="1"/>
  <c r="J65" i="7" s="1"/>
  <c r="I65" i="7"/>
  <c r="J73" i="1"/>
  <c r="J73" i="7" s="1"/>
  <c r="I73" i="7"/>
  <c r="J81" i="1"/>
  <c r="I81" i="7"/>
  <c r="J89" i="1"/>
  <c r="I89" i="7"/>
  <c r="J97" i="1"/>
  <c r="I97" i="7"/>
  <c r="J105" i="1"/>
  <c r="I105" i="7"/>
  <c r="J55" i="1"/>
  <c r="J55" i="7" s="1"/>
  <c r="J53" i="1"/>
  <c r="J53" i="7" s="1"/>
  <c r="I53" i="7"/>
  <c r="J109" i="1"/>
  <c r="I109" i="7"/>
  <c r="J38" i="1"/>
  <c r="J38" i="7" s="1"/>
  <c r="I38" i="7"/>
  <c r="J70" i="1"/>
  <c r="I70" i="7"/>
  <c r="J86" i="1"/>
  <c r="I86" i="7"/>
  <c r="J15" i="1"/>
  <c r="J15" i="7" s="1"/>
  <c r="I15" i="7"/>
  <c r="J39" i="1"/>
  <c r="J39" i="7" s="1"/>
  <c r="I39" i="7"/>
  <c r="J32" i="1"/>
  <c r="J32" i="7" s="1"/>
  <c r="I32" i="7"/>
  <c r="J25" i="1"/>
  <c r="J25" i="7" s="1"/>
  <c r="I25" i="7"/>
  <c r="J33" i="1"/>
  <c r="J33" i="7" s="1"/>
  <c r="I33" i="7"/>
  <c r="J18" i="1"/>
  <c r="J18" i="7" s="1"/>
  <c r="I18" i="7"/>
  <c r="J26" i="1"/>
  <c r="J26" i="7" s="1"/>
  <c r="I26" i="7"/>
  <c r="J34" i="1"/>
  <c r="J34" i="7" s="1"/>
  <c r="I34" i="7"/>
  <c r="J42" i="1"/>
  <c r="J42" i="7" s="1"/>
  <c r="I42" i="7"/>
  <c r="J50" i="1"/>
  <c r="J50" i="7" s="1"/>
  <c r="I50" i="7"/>
  <c r="J58" i="1"/>
  <c r="J58" i="7" s="1"/>
  <c r="I58" i="7"/>
  <c r="J66" i="1"/>
  <c r="J66" i="7" s="1"/>
  <c r="I66" i="7"/>
  <c r="J74" i="1"/>
  <c r="J74" i="7" s="1"/>
  <c r="I74" i="7"/>
  <c r="J82" i="1"/>
  <c r="I82" i="7"/>
  <c r="J90" i="1"/>
  <c r="I90" i="7"/>
  <c r="J98" i="1"/>
  <c r="I98" i="7"/>
  <c r="J106" i="1"/>
  <c r="I106" i="7"/>
  <c r="J96" i="1"/>
  <c r="J19" i="1"/>
  <c r="J19" i="7" s="1"/>
  <c r="I19" i="7"/>
  <c r="M110" i="1"/>
  <c r="M110" i="7" s="1"/>
  <c r="M109" i="1"/>
  <c r="M109" i="7" s="1"/>
  <c r="M108" i="1"/>
  <c r="M108" i="7" s="1"/>
  <c r="M107" i="1"/>
  <c r="M107" i="7" s="1"/>
  <c r="M106" i="1"/>
  <c r="M106" i="7" s="1"/>
  <c r="M105" i="1"/>
  <c r="M105" i="7" s="1"/>
  <c r="M104" i="1"/>
  <c r="M104" i="7" s="1"/>
  <c r="M103" i="1"/>
  <c r="M103" i="7" s="1"/>
  <c r="M102" i="1"/>
  <c r="M102" i="7" s="1"/>
  <c r="M101" i="1"/>
  <c r="M101" i="7" s="1"/>
  <c r="M100" i="1"/>
  <c r="M100" i="7" s="1"/>
  <c r="M99" i="1"/>
  <c r="M99" i="7" s="1"/>
  <c r="M98" i="1"/>
  <c r="M98" i="7" s="1"/>
  <c r="M97" i="1"/>
  <c r="M97" i="7" s="1"/>
  <c r="M96" i="1"/>
  <c r="M96" i="7" s="1"/>
  <c r="M95" i="1"/>
  <c r="M95" i="7" s="1"/>
  <c r="M94" i="1"/>
  <c r="M94" i="7" s="1"/>
  <c r="M93" i="1"/>
  <c r="M93" i="7" s="1"/>
  <c r="M92" i="1"/>
  <c r="M92" i="7" s="1"/>
  <c r="M91" i="1"/>
  <c r="M91" i="7" s="1"/>
  <c r="M90" i="1"/>
  <c r="M90" i="7" s="1"/>
  <c r="M89" i="1"/>
  <c r="M89" i="7" s="1"/>
  <c r="M88" i="1"/>
  <c r="M88" i="7" s="1"/>
  <c r="M87" i="1"/>
  <c r="M87" i="7" s="1"/>
  <c r="M86" i="1"/>
  <c r="M86" i="7" s="1"/>
  <c r="M85" i="1"/>
  <c r="M85" i="7" s="1"/>
  <c r="M84" i="1"/>
  <c r="M84" i="7" s="1"/>
  <c r="M83" i="1"/>
  <c r="M83" i="7" s="1"/>
  <c r="M82" i="1"/>
  <c r="M82" i="7" s="1"/>
  <c r="M81" i="1"/>
  <c r="M81" i="7" s="1"/>
  <c r="M80" i="1"/>
  <c r="M80" i="7" s="1"/>
  <c r="M79" i="1"/>
  <c r="M79" i="7" s="1"/>
  <c r="M78" i="1"/>
  <c r="M78" i="7" s="1"/>
  <c r="M77" i="1"/>
  <c r="M77" i="7" s="1"/>
  <c r="M22" i="1"/>
  <c r="M22" i="7" s="1"/>
  <c r="M17" i="1"/>
  <c r="M17" i="7" s="1"/>
  <c r="M14" i="1"/>
  <c r="M14" i="7" s="1"/>
  <c r="D6" i="7"/>
  <c r="E6" i="7"/>
  <c r="G8" i="2"/>
  <c r="U102" i="1" l="1"/>
  <c r="U102" i="7" s="1"/>
  <c r="J102" i="7"/>
  <c r="U84" i="1"/>
  <c r="U84" i="7" s="1"/>
  <c r="J84" i="7"/>
  <c r="U98" i="1"/>
  <c r="U98" i="7" s="1"/>
  <c r="J98" i="7"/>
  <c r="U86" i="1"/>
  <c r="U86" i="7" s="1"/>
  <c r="J86" i="7"/>
  <c r="U104" i="1"/>
  <c r="U104" i="7" s="1"/>
  <c r="J104" i="7"/>
  <c r="U24" i="1"/>
  <c r="U24" i="7" s="1"/>
  <c r="J24" i="7"/>
  <c r="U106" i="1"/>
  <c r="U106" i="7" s="1"/>
  <c r="J106" i="7"/>
  <c r="U109" i="1"/>
  <c r="U109" i="7" s="1"/>
  <c r="J109" i="7"/>
  <c r="U91" i="1"/>
  <c r="U91" i="7" s="1"/>
  <c r="J91" i="7"/>
  <c r="U81" i="1"/>
  <c r="U81" i="7" s="1"/>
  <c r="J81" i="7"/>
  <c r="U110" i="1"/>
  <c r="U110" i="7" s="1"/>
  <c r="J110" i="7"/>
  <c r="U77" i="1"/>
  <c r="U77" i="7" s="1"/>
  <c r="J77" i="7"/>
  <c r="U79" i="1"/>
  <c r="U79" i="7" s="1"/>
  <c r="J79" i="7"/>
  <c r="U108" i="1"/>
  <c r="U108" i="7" s="1"/>
  <c r="J108" i="7"/>
  <c r="U78" i="1"/>
  <c r="U78" i="7" s="1"/>
  <c r="J78" i="7"/>
  <c r="U89" i="1"/>
  <c r="U89" i="7" s="1"/>
  <c r="J89" i="7"/>
  <c r="U101" i="1"/>
  <c r="U101" i="7" s="1"/>
  <c r="J101" i="7"/>
  <c r="U87" i="1"/>
  <c r="U87" i="7" s="1"/>
  <c r="J87" i="7"/>
  <c r="U90" i="1"/>
  <c r="U90" i="7" s="1"/>
  <c r="J90" i="7"/>
  <c r="U105" i="1"/>
  <c r="U105" i="7" s="1"/>
  <c r="J105" i="7"/>
  <c r="U17" i="1"/>
  <c r="U17" i="7" s="1"/>
  <c r="J17" i="7"/>
  <c r="U103" i="1"/>
  <c r="U103" i="7" s="1"/>
  <c r="J103" i="7"/>
  <c r="U22" i="1"/>
  <c r="U22" i="7" s="1"/>
  <c r="J22" i="7"/>
  <c r="U100" i="1"/>
  <c r="U100" i="7" s="1"/>
  <c r="J100" i="7"/>
  <c r="U107" i="1"/>
  <c r="U107" i="7" s="1"/>
  <c r="J107" i="7"/>
  <c r="U35" i="1"/>
  <c r="U35" i="7" s="1"/>
  <c r="J35" i="7"/>
  <c r="U83" i="1"/>
  <c r="U83" i="7" s="1"/>
  <c r="J83" i="7"/>
  <c r="U70" i="1"/>
  <c r="U70" i="7" s="1"/>
  <c r="J70" i="7"/>
  <c r="U88" i="1"/>
  <c r="U88" i="7" s="1"/>
  <c r="J88" i="7"/>
  <c r="U14" i="1"/>
  <c r="U14" i="7" s="1"/>
  <c r="J14" i="7"/>
  <c r="U96" i="1"/>
  <c r="U96" i="7" s="1"/>
  <c r="J96" i="7"/>
  <c r="U82" i="1"/>
  <c r="U82" i="7" s="1"/>
  <c r="J82" i="7"/>
  <c r="U80" i="1"/>
  <c r="U80" i="7" s="1"/>
  <c r="J80" i="7"/>
  <c r="U94" i="1"/>
  <c r="U94" i="7" s="1"/>
  <c r="J94" i="7"/>
  <c r="U85" i="1"/>
  <c r="U85" i="7" s="1"/>
  <c r="J85" i="7"/>
  <c r="U97" i="1"/>
  <c r="U97" i="7" s="1"/>
  <c r="J97" i="7"/>
  <c r="U30" i="1"/>
  <c r="U30" i="7" s="1"/>
  <c r="J30" i="7"/>
  <c r="U95" i="1"/>
  <c r="U95" i="7" s="1"/>
  <c r="J95" i="7"/>
  <c r="U93" i="1"/>
  <c r="U93" i="7" s="1"/>
  <c r="J93" i="7"/>
  <c r="U92" i="1"/>
  <c r="U92" i="7" s="1"/>
  <c r="J92" i="7"/>
  <c r="U99" i="1"/>
  <c r="U99" i="7" s="1"/>
  <c r="J99" i="7"/>
  <c r="F11" i="2"/>
  <c r="F10" i="2"/>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C26" i="7" l="1"/>
  <c r="Y26" i="7" s="1"/>
  <c r="C3" i="7"/>
  <c r="E110" i="7"/>
  <c r="D110" i="7"/>
  <c r="C110" i="7"/>
  <c r="Y110" i="7" s="1"/>
  <c r="B110" i="7"/>
  <c r="E109" i="7"/>
  <c r="D109" i="7"/>
  <c r="C109" i="7"/>
  <c r="Y109" i="7" s="1"/>
  <c r="B109" i="7"/>
  <c r="E108" i="7"/>
  <c r="D108" i="7"/>
  <c r="C108" i="7"/>
  <c r="Y108" i="7" s="1"/>
  <c r="B108" i="7"/>
  <c r="E107" i="7"/>
  <c r="D107" i="7"/>
  <c r="C107" i="7"/>
  <c r="Y107" i="7" s="1"/>
  <c r="B107" i="7"/>
  <c r="E106" i="7"/>
  <c r="D106" i="7"/>
  <c r="C106" i="7"/>
  <c r="Y106" i="7" s="1"/>
  <c r="B106" i="7"/>
  <c r="E105" i="7"/>
  <c r="D105" i="7"/>
  <c r="C105" i="7"/>
  <c r="Y105" i="7" s="1"/>
  <c r="B105" i="7"/>
  <c r="E104" i="7"/>
  <c r="D104" i="7"/>
  <c r="C104" i="7"/>
  <c r="Y104" i="7" s="1"/>
  <c r="B104" i="7"/>
  <c r="E103" i="7"/>
  <c r="D103" i="7"/>
  <c r="C103" i="7"/>
  <c r="Y103" i="7" s="1"/>
  <c r="B103" i="7"/>
  <c r="E102" i="7"/>
  <c r="D102" i="7"/>
  <c r="C102" i="7"/>
  <c r="Y102" i="7" s="1"/>
  <c r="B102" i="7"/>
  <c r="E101" i="7"/>
  <c r="D101" i="7"/>
  <c r="C101" i="7"/>
  <c r="Y101" i="7" s="1"/>
  <c r="B101" i="7"/>
  <c r="E100" i="7"/>
  <c r="D100" i="7"/>
  <c r="C100" i="7"/>
  <c r="Y100" i="7" s="1"/>
  <c r="B100" i="7"/>
  <c r="E99" i="7"/>
  <c r="D99" i="7"/>
  <c r="C99" i="7"/>
  <c r="Y99" i="7" s="1"/>
  <c r="B99" i="7"/>
  <c r="E98" i="7"/>
  <c r="D98" i="7"/>
  <c r="C98" i="7"/>
  <c r="Y98" i="7" s="1"/>
  <c r="B98" i="7"/>
  <c r="E97" i="7"/>
  <c r="D97" i="7"/>
  <c r="C97" i="7"/>
  <c r="Y97" i="7" s="1"/>
  <c r="B97" i="7"/>
  <c r="E96" i="7"/>
  <c r="D96" i="7"/>
  <c r="C96" i="7"/>
  <c r="Y96" i="7" s="1"/>
  <c r="B96" i="7"/>
  <c r="E95" i="7"/>
  <c r="D95" i="7"/>
  <c r="C95" i="7"/>
  <c r="Y95" i="7" s="1"/>
  <c r="B95" i="7"/>
  <c r="E94" i="7"/>
  <c r="D94" i="7"/>
  <c r="C94" i="7"/>
  <c r="Y94" i="7" s="1"/>
  <c r="B94" i="7"/>
  <c r="E93" i="7"/>
  <c r="D93" i="7"/>
  <c r="C93" i="7"/>
  <c r="Y93" i="7" s="1"/>
  <c r="B93" i="7"/>
  <c r="E92" i="7"/>
  <c r="D92" i="7"/>
  <c r="C92" i="7"/>
  <c r="Y92" i="7" s="1"/>
  <c r="B92" i="7"/>
  <c r="E91" i="7"/>
  <c r="D91" i="7"/>
  <c r="C91" i="7"/>
  <c r="Y91" i="7" s="1"/>
  <c r="B91" i="7"/>
  <c r="E90" i="7"/>
  <c r="D90" i="7"/>
  <c r="C90" i="7"/>
  <c r="Y90" i="7" s="1"/>
  <c r="B90" i="7"/>
  <c r="E89" i="7"/>
  <c r="D89" i="7"/>
  <c r="C89" i="7"/>
  <c r="Y89" i="7" s="1"/>
  <c r="B89" i="7"/>
  <c r="E88" i="7"/>
  <c r="D88" i="7"/>
  <c r="C88" i="7"/>
  <c r="Y88" i="7" s="1"/>
  <c r="B88" i="7"/>
  <c r="E87" i="7"/>
  <c r="D87" i="7"/>
  <c r="C87" i="7"/>
  <c r="Y87" i="7" s="1"/>
  <c r="B87" i="7"/>
  <c r="E86" i="7"/>
  <c r="D86" i="7"/>
  <c r="C86" i="7"/>
  <c r="Y86" i="7" s="1"/>
  <c r="B86" i="7"/>
  <c r="E85" i="7"/>
  <c r="D85" i="7"/>
  <c r="C85" i="7"/>
  <c r="Y85" i="7" s="1"/>
  <c r="B85" i="7"/>
  <c r="E84" i="7"/>
  <c r="D84" i="7"/>
  <c r="C84" i="7"/>
  <c r="Y84" i="7" s="1"/>
  <c r="B84" i="7"/>
  <c r="E83" i="7"/>
  <c r="D83" i="7"/>
  <c r="C83" i="7"/>
  <c r="Y83" i="7" s="1"/>
  <c r="B83" i="7"/>
  <c r="E82" i="7"/>
  <c r="D82" i="7"/>
  <c r="C82" i="7"/>
  <c r="Y82" i="7" s="1"/>
  <c r="B82" i="7"/>
  <c r="E81" i="7"/>
  <c r="D81" i="7"/>
  <c r="C81" i="7"/>
  <c r="Y81" i="7" s="1"/>
  <c r="B81" i="7"/>
  <c r="E80" i="7"/>
  <c r="D80" i="7"/>
  <c r="C80" i="7"/>
  <c r="Y80" i="7" s="1"/>
  <c r="B80" i="7"/>
  <c r="E79" i="7"/>
  <c r="D79" i="7"/>
  <c r="C79" i="7"/>
  <c r="Y79" i="7" s="1"/>
  <c r="B79" i="7"/>
  <c r="E78" i="7"/>
  <c r="D78" i="7"/>
  <c r="C78" i="7"/>
  <c r="Y78" i="7" s="1"/>
  <c r="B78" i="7"/>
  <c r="E77" i="7"/>
  <c r="D77" i="7"/>
  <c r="C77" i="7"/>
  <c r="Y77" i="7" s="1"/>
  <c r="B77" i="7"/>
  <c r="E76" i="7"/>
  <c r="D76" i="7"/>
  <c r="C76" i="7"/>
  <c r="Y76" i="7" s="1"/>
  <c r="B76" i="7"/>
  <c r="E75" i="7"/>
  <c r="D75" i="7"/>
  <c r="C75" i="7"/>
  <c r="Y75" i="7" s="1"/>
  <c r="B75" i="7"/>
  <c r="E74" i="7"/>
  <c r="D74" i="7"/>
  <c r="C74" i="7"/>
  <c r="Y74" i="7" s="1"/>
  <c r="B74" i="7"/>
  <c r="E73" i="7"/>
  <c r="D73" i="7"/>
  <c r="C73" i="7"/>
  <c r="Y73" i="7" s="1"/>
  <c r="B73" i="7"/>
  <c r="E72" i="7"/>
  <c r="D72" i="7"/>
  <c r="C72" i="7"/>
  <c r="Y72" i="7" s="1"/>
  <c r="B72" i="7"/>
  <c r="E71" i="7"/>
  <c r="D71" i="7"/>
  <c r="C71" i="7"/>
  <c r="Y71" i="7" s="1"/>
  <c r="B71" i="7"/>
  <c r="E70" i="7"/>
  <c r="D70" i="7"/>
  <c r="C70" i="7"/>
  <c r="Y70" i="7" s="1"/>
  <c r="B70" i="7"/>
  <c r="E69" i="7"/>
  <c r="D69" i="7"/>
  <c r="C69" i="7"/>
  <c r="Y69" i="7" s="1"/>
  <c r="B69" i="7"/>
  <c r="E68" i="7"/>
  <c r="D68" i="7"/>
  <c r="C68" i="7"/>
  <c r="Y68" i="7" s="1"/>
  <c r="B68" i="7"/>
  <c r="E67" i="7"/>
  <c r="D67" i="7"/>
  <c r="C67" i="7"/>
  <c r="Y67" i="7" s="1"/>
  <c r="B67" i="7"/>
  <c r="E66" i="7"/>
  <c r="D66" i="7"/>
  <c r="C66" i="7"/>
  <c r="Y66" i="7" s="1"/>
  <c r="B66" i="7"/>
  <c r="E65" i="7"/>
  <c r="D65" i="7"/>
  <c r="C65" i="7"/>
  <c r="Y65" i="7" s="1"/>
  <c r="B65" i="7"/>
  <c r="E64" i="7"/>
  <c r="D64" i="7"/>
  <c r="C64" i="7"/>
  <c r="Y64" i="7" s="1"/>
  <c r="B64" i="7"/>
  <c r="E63" i="7"/>
  <c r="D63" i="7"/>
  <c r="C63" i="7"/>
  <c r="Y63" i="7" s="1"/>
  <c r="B63" i="7"/>
  <c r="E62" i="7"/>
  <c r="D62" i="7"/>
  <c r="C62" i="7"/>
  <c r="Y62" i="7" s="1"/>
  <c r="B62" i="7"/>
  <c r="E61" i="7"/>
  <c r="D61" i="7"/>
  <c r="C61" i="7"/>
  <c r="Y61" i="7" s="1"/>
  <c r="B61" i="7"/>
  <c r="E60" i="7"/>
  <c r="D60" i="7"/>
  <c r="C60" i="7"/>
  <c r="Y60" i="7" s="1"/>
  <c r="B60" i="7"/>
  <c r="E59" i="7"/>
  <c r="D59" i="7"/>
  <c r="C59" i="7"/>
  <c r="Y59" i="7" s="1"/>
  <c r="B59" i="7"/>
  <c r="E58" i="7"/>
  <c r="D58" i="7"/>
  <c r="C58" i="7"/>
  <c r="Y58" i="7" s="1"/>
  <c r="B58" i="7"/>
  <c r="E57" i="7"/>
  <c r="D57" i="7"/>
  <c r="C57" i="7"/>
  <c r="Y57" i="7" s="1"/>
  <c r="B57" i="7"/>
  <c r="E56" i="7"/>
  <c r="D56" i="7"/>
  <c r="C56" i="7"/>
  <c r="Y56" i="7" s="1"/>
  <c r="B56" i="7"/>
  <c r="E55" i="7"/>
  <c r="D55" i="7"/>
  <c r="C55" i="7"/>
  <c r="Y55" i="7" s="1"/>
  <c r="B55" i="7"/>
  <c r="E54" i="7"/>
  <c r="D54" i="7"/>
  <c r="C54" i="7"/>
  <c r="Y54" i="7" s="1"/>
  <c r="B54" i="7"/>
  <c r="E53" i="7"/>
  <c r="D53" i="7"/>
  <c r="C53" i="7"/>
  <c r="Y53" i="7" s="1"/>
  <c r="B53" i="7"/>
  <c r="E52" i="7"/>
  <c r="D52" i="7"/>
  <c r="C52" i="7"/>
  <c r="Y52" i="7" s="1"/>
  <c r="B52" i="7"/>
  <c r="E51" i="7"/>
  <c r="D51" i="7"/>
  <c r="C51" i="7"/>
  <c r="Y51" i="7" s="1"/>
  <c r="B51" i="7"/>
  <c r="E50" i="7"/>
  <c r="D50" i="7"/>
  <c r="C50" i="7"/>
  <c r="Y50" i="7" s="1"/>
  <c r="B50" i="7"/>
  <c r="E49" i="7"/>
  <c r="D49" i="7"/>
  <c r="C49" i="7"/>
  <c r="Y49" i="7" s="1"/>
  <c r="B49" i="7"/>
  <c r="E48" i="7"/>
  <c r="D48" i="7"/>
  <c r="C48" i="7"/>
  <c r="Y48" i="7" s="1"/>
  <c r="B48" i="7"/>
  <c r="E47" i="7"/>
  <c r="D47" i="7"/>
  <c r="C47" i="7"/>
  <c r="Y47" i="7" s="1"/>
  <c r="B47" i="7"/>
  <c r="E46" i="7"/>
  <c r="D46" i="7"/>
  <c r="C46" i="7"/>
  <c r="Y46" i="7" s="1"/>
  <c r="B46" i="7"/>
  <c r="E45" i="7"/>
  <c r="D45" i="7"/>
  <c r="C45" i="7"/>
  <c r="Y45" i="7" s="1"/>
  <c r="B45" i="7"/>
  <c r="E44" i="7"/>
  <c r="D44" i="7"/>
  <c r="C44" i="7"/>
  <c r="Y44" i="7" s="1"/>
  <c r="B44" i="7"/>
  <c r="E43" i="7"/>
  <c r="D43" i="7"/>
  <c r="C43" i="7"/>
  <c r="Y43" i="7" s="1"/>
  <c r="B43" i="7"/>
  <c r="E42" i="7"/>
  <c r="D42" i="7"/>
  <c r="C42" i="7"/>
  <c r="Y42" i="7" s="1"/>
  <c r="B42" i="7"/>
  <c r="E41" i="7"/>
  <c r="D41" i="7"/>
  <c r="C41" i="7"/>
  <c r="Y41" i="7" s="1"/>
  <c r="B41" i="7"/>
  <c r="E40" i="7"/>
  <c r="D40" i="7"/>
  <c r="C40" i="7"/>
  <c r="Y40" i="7" s="1"/>
  <c r="B40" i="7"/>
  <c r="E39" i="7"/>
  <c r="D39" i="7"/>
  <c r="C39" i="7"/>
  <c r="Y39" i="7" s="1"/>
  <c r="B39" i="7"/>
  <c r="E38" i="7"/>
  <c r="D38" i="7"/>
  <c r="C38" i="7"/>
  <c r="Y38" i="7" s="1"/>
  <c r="B38" i="7"/>
  <c r="E37" i="7"/>
  <c r="D37" i="7"/>
  <c r="C37" i="7"/>
  <c r="Y37" i="7" s="1"/>
  <c r="B37" i="7"/>
  <c r="E36" i="7"/>
  <c r="D36" i="7"/>
  <c r="C36" i="7"/>
  <c r="Y36" i="7" s="1"/>
  <c r="B36" i="7"/>
  <c r="E35" i="7"/>
  <c r="D35" i="7"/>
  <c r="C35" i="7"/>
  <c r="Y35" i="7" s="1"/>
  <c r="B35" i="7"/>
  <c r="E34" i="7"/>
  <c r="D34" i="7"/>
  <c r="C34" i="7"/>
  <c r="Y34" i="7" s="1"/>
  <c r="B34" i="7"/>
  <c r="E33" i="7"/>
  <c r="D33" i="7"/>
  <c r="C33" i="7"/>
  <c r="Y33" i="7" s="1"/>
  <c r="B33" i="7"/>
  <c r="E32" i="7"/>
  <c r="D32" i="7"/>
  <c r="C32" i="7"/>
  <c r="Y32" i="7" s="1"/>
  <c r="B32" i="7"/>
  <c r="E31" i="7"/>
  <c r="D31" i="7"/>
  <c r="C31" i="7"/>
  <c r="Y31" i="7" s="1"/>
  <c r="B31" i="7"/>
  <c r="E30" i="7"/>
  <c r="D30" i="7"/>
  <c r="C30" i="7"/>
  <c r="Y30" i="7" s="1"/>
  <c r="B30" i="7"/>
  <c r="E29" i="7"/>
  <c r="D29" i="7"/>
  <c r="C29" i="7"/>
  <c r="Y29" i="7" s="1"/>
  <c r="B29" i="7"/>
  <c r="E28" i="7"/>
  <c r="D28" i="7"/>
  <c r="C28" i="7"/>
  <c r="Y28" i="7" s="1"/>
  <c r="B28" i="7"/>
  <c r="E27" i="7"/>
  <c r="D27" i="7"/>
  <c r="C27" i="7"/>
  <c r="Y27" i="7" s="1"/>
  <c r="B27" i="7"/>
  <c r="E26" i="7"/>
  <c r="D26" i="7"/>
  <c r="B26" i="7"/>
  <c r="E25" i="7"/>
  <c r="D25" i="7"/>
  <c r="C25" i="7"/>
  <c r="Y25" i="7" s="1"/>
  <c r="B25" i="7"/>
  <c r="E24" i="7"/>
  <c r="D24" i="7"/>
  <c r="C24" i="7"/>
  <c r="Y24" i="7" s="1"/>
  <c r="B24" i="7"/>
  <c r="E23" i="7"/>
  <c r="D23" i="7"/>
  <c r="C23" i="7"/>
  <c r="Y23" i="7" s="1"/>
  <c r="B23" i="7"/>
  <c r="E22" i="7"/>
  <c r="D22" i="7"/>
  <c r="C22" i="7"/>
  <c r="Y22" i="7" s="1"/>
  <c r="B22" i="7"/>
  <c r="E21" i="7"/>
  <c r="D21" i="7"/>
  <c r="C21" i="7"/>
  <c r="Y21" i="7" s="1"/>
  <c r="B21" i="7"/>
  <c r="E20" i="7"/>
  <c r="D20" i="7"/>
  <c r="C20" i="7"/>
  <c r="Y20" i="7" s="1"/>
  <c r="B20" i="7"/>
  <c r="E19" i="7"/>
  <c r="D19" i="7"/>
  <c r="C19" i="7"/>
  <c r="Y19" i="7" s="1"/>
  <c r="B19" i="7"/>
  <c r="E18" i="7"/>
  <c r="D18" i="7"/>
  <c r="C18" i="7"/>
  <c r="Y18" i="7" s="1"/>
  <c r="B18" i="7"/>
  <c r="E17" i="7"/>
  <c r="D17" i="7"/>
  <c r="C17" i="7"/>
  <c r="Y17" i="7" s="1"/>
  <c r="B17" i="7"/>
  <c r="E16" i="7"/>
  <c r="D16" i="7"/>
  <c r="C16" i="7"/>
  <c r="Y16" i="7" s="1"/>
  <c r="B16" i="7"/>
  <c r="E15" i="7"/>
  <c r="D15" i="7"/>
  <c r="C15" i="7"/>
  <c r="Y15" i="7" s="1"/>
  <c r="B15" i="7"/>
  <c r="E14" i="7"/>
  <c r="D14" i="7"/>
  <c r="C14" i="7"/>
  <c r="Y14" i="7" s="1"/>
  <c r="B14" i="7"/>
  <c r="E13" i="7"/>
  <c r="D13" i="7"/>
  <c r="C13" i="7"/>
  <c r="Y13" i="7" s="1"/>
  <c r="B13" i="7"/>
  <c r="E12" i="7"/>
  <c r="D12" i="7"/>
  <c r="C12" i="7"/>
  <c r="Y12" i="7" s="1"/>
  <c r="B12" i="7"/>
  <c r="E11" i="7"/>
  <c r="D11" i="7"/>
  <c r="C11" i="7"/>
  <c r="Y11" i="7" s="1"/>
  <c r="B11" i="7"/>
  <c r="C8" i="7"/>
  <c r="C7" i="7"/>
  <c r="C6" i="7"/>
  <c r="C5" i="7"/>
  <c r="C4" i="7"/>
  <c r="K107" i="3"/>
  <c r="K104" i="3"/>
  <c r="K102" i="3"/>
  <c r="K101" i="3"/>
  <c r="K97" i="3"/>
  <c r="K96" i="3"/>
  <c r="K94" i="3"/>
  <c r="K93" i="3"/>
  <c r="K89" i="3"/>
  <c r="K88" i="3"/>
  <c r="K87" i="3"/>
  <c r="K86" i="3"/>
  <c r="K85" i="3"/>
  <c r="K82" i="3"/>
  <c r="K81" i="3"/>
  <c r="K80" i="3"/>
  <c r="K79" i="3"/>
  <c r="K78" i="3"/>
  <c r="K77" i="3"/>
  <c r="K73" i="3"/>
  <c r="K71" i="3"/>
  <c r="K70" i="3"/>
  <c r="K69" i="3"/>
  <c r="A70" i="7"/>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K67" i="3"/>
  <c r="K62" i="3"/>
  <c r="K61" i="3"/>
  <c r="K56" i="3"/>
  <c r="K55" i="3"/>
  <c r="K53" i="3"/>
  <c r="K49" i="3"/>
  <c r="K47" i="3"/>
  <c r="K45" i="3"/>
  <c r="K42" i="3"/>
  <c r="K40" i="3"/>
  <c r="K39" i="3"/>
  <c r="K37" i="3"/>
  <c r="K34" i="3"/>
  <c r="K32" i="3"/>
  <c r="K31" i="3"/>
  <c r="K30" i="3"/>
  <c r="K29" i="3"/>
  <c r="K25" i="3"/>
  <c r="K23" i="3"/>
  <c r="K22" i="3"/>
  <c r="Z9" i="7"/>
  <c r="Y9" i="7"/>
  <c r="X9" i="7"/>
  <c r="I4" i="7"/>
  <c r="F4" i="7"/>
  <c r="K52" i="3" l="1"/>
  <c r="K103" i="3"/>
  <c r="K108" i="3"/>
  <c r="K44" i="3"/>
  <c r="K48" i="3"/>
  <c r="K64" i="3"/>
  <c r="K26" i="3"/>
  <c r="K38" i="3"/>
  <c r="K21" i="3"/>
  <c r="K24" i="3"/>
  <c r="K36" i="3"/>
  <c r="K46" i="3"/>
  <c r="K54" i="3"/>
  <c r="K66" i="3"/>
  <c r="K50" i="3"/>
  <c r="K19" i="3"/>
  <c r="K95" i="3"/>
  <c r="P28" i="3"/>
  <c r="K72" i="3"/>
  <c r="K63" i="3"/>
  <c r="K33" i="3"/>
  <c r="K41" i="3"/>
  <c r="K57" i="3"/>
  <c r="K65" i="3"/>
  <c r="K105" i="3"/>
  <c r="K18" i="3"/>
  <c r="K58" i="3"/>
  <c r="K74" i="3"/>
  <c r="K90" i="3"/>
  <c r="K98" i="3"/>
  <c r="K106" i="3"/>
  <c r="K27" i="3"/>
  <c r="K35" i="3"/>
  <c r="K43" i="3"/>
  <c r="K51" i="3"/>
  <c r="K59" i="3"/>
  <c r="K75" i="3"/>
  <c r="K83" i="3"/>
  <c r="K91" i="3"/>
  <c r="K99" i="3"/>
  <c r="K20" i="3"/>
  <c r="K28" i="3"/>
  <c r="K60" i="3"/>
  <c r="K68" i="3"/>
  <c r="K76" i="3"/>
  <c r="K84" i="3"/>
  <c r="K92" i="3"/>
  <c r="K100" i="3"/>
  <c r="K12" i="3"/>
  <c r="K14" i="3"/>
  <c r="K16" i="3"/>
  <c r="K13" i="3"/>
  <c r="K15" i="3"/>
  <c r="K17" i="3"/>
  <c r="K11" i="3"/>
  <c r="K9" i="3"/>
  <c r="K10" i="3"/>
  <c r="G10" i="2"/>
  <c r="G11" i="2"/>
  <c r="P7" i="7"/>
  <c r="M7" i="7"/>
  <c r="P91" i="3" l="1"/>
  <c r="P105" i="3"/>
  <c r="P86" i="3"/>
  <c r="P106" i="3"/>
  <c r="P101" i="3"/>
  <c r="P102" i="3"/>
  <c r="P98" i="3"/>
  <c r="P33" i="3"/>
  <c r="P95" i="3"/>
  <c r="P80" i="3"/>
  <c r="P97" i="3"/>
  <c r="P77" i="3"/>
  <c r="P108" i="3"/>
  <c r="P93" i="3"/>
  <c r="P100" i="3"/>
  <c r="P94" i="3"/>
  <c r="P85" i="3"/>
  <c r="P104" i="3"/>
  <c r="P107" i="3"/>
  <c r="P89" i="3"/>
  <c r="P84" i="3"/>
  <c r="P96" i="3"/>
  <c r="P90" i="3"/>
  <c r="P79" i="3"/>
  <c r="P103" i="3"/>
  <c r="P82" i="3"/>
  <c r="P68" i="3"/>
  <c r="P92" i="3"/>
  <c r="P87" i="3"/>
  <c r="P83" i="3"/>
  <c r="P76" i="3"/>
  <c r="P22" i="3"/>
  <c r="P99" i="3"/>
  <c r="P75" i="3"/>
  <c r="P88" i="3"/>
  <c r="P78" i="3"/>
  <c r="P81" i="3"/>
  <c r="P20" i="3"/>
  <c r="P12" i="3" l="1"/>
  <c r="P15" i="3"/>
  <c r="Q110" i="1" l="1"/>
  <c r="Q110" i="7" s="1"/>
  <c r="Q109" i="1"/>
  <c r="Q109" i="7" s="1"/>
  <c r="Q108" i="1"/>
  <c r="Q108" i="7" s="1"/>
  <c r="Q107" i="1"/>
  <c r="Q107" i="7" s="1"/>
  <c r="Q106" i="1"/>
  <c r="Q106" i="7" s="1"/>
  <c r="Q105" i="1"/>
  <c r="Q105" i="7" s="1"/>
  <c r="Q104" i="1"/>
  <c r="Q104" i="7" s="1"/>
  <c r="Q103" i="1"/>
  <c r="Q103" i="7" s="1"/>
  <c r="Q102" i="1"/>
  <c r="Q102" i="7" s="1"/>
  <c r="Q101" i="1"/>
  <c r="Q101" i="7" s="1"/>
  <c r="Q100" i="1"/>
  <c r="Q100" i="7" s="1"/>
  <c r="Q99" i="1"/>
  <c r="Q99" i="7" s="1"/>
  <c r="Q98" i="1"/>
  <c r="Q98" i="7" s="1"/>
  <c r="Q97" i="1"/>
  <c r="Q97" i="7" s="1"/>
  <c r="Q96" i="1"/>
  <c r="Q96" i="7" s="1"/>
  <c r="Q95" i="1"/>
  <c r="Q95" i="7" s="1"/>
  <c r="Q94" i="1"/>
  <c r="Q94" i="7" s="1"/>
  <c r="Q93" i="1"/>
  <c r="Q93" i="7" s="1"/>
  <c r="Q92" i="1"/>
  <c r="Q92" i="7" s="1"/>
  <c r="Q91" i="1"/>
  <c r="Q91" i="7" s="1"/>
  <c r="Q90" i="1"/>
  <c r="Q90" i="7" s="1"/>
  <c r="Q89" i="1"/>
  <c r="Q89" i="7" s="1"/>
  <c r="Q88" i="1"/>
  <c r="Q88" i="7" s="1"/>
  <c r="Q87" i="1"/>
  <c r="Q87" i="7" s="1"/>
  <c r="Q86" i="1"/>
  <c r="Q86" i="7" s="1"/>
  <c r="Q85" i="1"/>
  <c r="Q85" i="7" s="1"/>
  <c r="Q84" i="1"/>
  <c r="Q84" i="7" s="1"/>
  <c r="Q83" i="1"/>
  <c r="Q83" i="7" s="1"/>
  <c r="Q82" i="1"/>
  <c r="Q82" i="7" s="1"/>
  <c r="Q81" i="1"/>
  <c r="Q81" i="7" s="1"/>
  <c r="Q80" i="1"/>
  <c r="Q80" i="7" s="1"/>
  <c r="Q79" i="1"/>
  <c r="Q79" i="7" s="1"/>
  <c r="Q78" i="1"/>
  <c r="Q78" i="7" s="1"/>
  <c r="Q77" i="1"/>
  <c r="Q77" i="7" s="1"/>
  <c r="Q22" i="1"/>
  <c r="Q22" i="7" s="1"/>
  <c r="Z9" i="1" l="1"/>
  <c r="Y9" i="1"/>
  <c r="X9" i="1"/>
  <c r="M7" i="1" l="1"/>
  <c r="P7" i="1"/>
  <c r="Q17" i="1"/>
  <c r="Q17" i="7" s="1"/>
  <c r="Q14" i="1"/>
  <c r="Q14" i="7" s="1"/>
  <c r="M70" i="1" l="1"/>
  <c r="M46" i="1"/>
  <c r="M38" i="1"/>
  <c r="M30" i="1"/>
  <c r="M64" i="1"/>
  <c r="M56" i="1"/>
  <c r="M47" i="1"/>
  <c r="M61" i="1"/>
  <c r="M45" i="1"/>
  <c r="M37" i="1"/>
  <c r="M40" i="1"/>
  <c r="M31" i="1"/>
  <c r="M68" i="1"/>
  <c r="M60" i="1"/>
  <c r="M44" i="1"/>
  <c r="M36" i="1"/>
  <c r="M20" i="1"/>
  <c r="M39" i="1"/>
  <c r="M75" i="1"/>
  <c r="M67" i="1"/>
  <c r="M51" i="1"/>
  <c r="M35" i="1"/>
  <c r="M27" i="1"/>
  <c r="M19" i="1"/>
  <c r="M74" i="1"/>
  <c r="M66" i="1"/>
  <c r="M42" i="1"/>
  <c r="M57" i="1"/>
  <c r="M41" i="1"/>
  <c r="M33" i="1"/>
  <c r="M24" i="1"/>
  <c r="M63" i="1"/>
  <c r="M62" i="1"/>
  <c r="M54" i="1"/>
  <c r="M69" i="1"/>
  <c r="M53" i="1"/>
  <c r="M29" i="1"/>
  <c r="M21" i="1"/>
  <c r="M76" i="1"/>
  <c r="M52" i="1"/>
  <c r="M28" i="1"/>
  <c r="M72" i="1"/>
  <c r="M48" i="1"/>
  <c r="M59" i="1"/>
  <c r="M43" i="1"/>
  <c r="M55" i="1"/>
  <c r="M58" i="1"/>
  <c r="M50" i="1"/>
  <c r="M34" i="1"/>
  <c r="M26" i="1"/>
  <c r="M32" i="1"/>
  <c r="M71" i="1"/>
  <c r="M23" i="1"/>
  <c r="M73" i="1"/>
  <c r="M65" i="1"/>
  <c r="M49" i="1"/>
  <c r="M25" i="1"/>
  <c r="M15" i="1"/>
  <c r="M11" i="1"/>
  <c r="M13" i="1"/>
  <c r="M12" i="1"/>
  <c r="M18" i="1"/>
  <c r="M16" i="1"/>
  <c r="D14" i="2"/>
  <c r="D11" i="2"/>
  <c r="A22" i="2" s="1"/>
  <c r="A23" i="2" s="1"/>
  <c r="A24" i="2" s="1"/>
  <c r="Q62" i="1" l="1"/>
  <c r="Q62" i="7" s="1"/>
  <c r="M62" i="7"/>
  <c r="Q20" i="1"/>
  <c r="Q20" i="7" s="1"/>
  <c r="M20" i="7"/>
  <c r="Q70" i="1"/>
  <c r="Q70" i="7" s="1"/>
  <c r="M70" i="7"/>
  <c r="Q49" i="1"/>
  <c r="Q49" i="7" s="1"/>
  <c r="M49" i="7"/>
  <c r="Q50" i="1"/>
  <c r="Q50" i="7" s="1"/>
  <c r="M50" i="7"/>
  <c r="Q52" i="1"/>
  <c r="Q52" i="7" s="1"/>
  <c r="M52" i="7"/>
  <c r="Q63" i="1"/>
  <c r="Q63" i="7" s="1"/>
  <c r="M63" i="7"/>
  <c r="Q19" i="1"/>
  <c r="Q19" i="7" s="1"/>
  <c r="M19" i="7"/>
  <c r="Q36" i="1"/>
  <c r="Q36" i="7" s="1"/>
  <c r="M36" i="7"/>
  <c r="Q61" i="1"/>
  <c r="Q61" i="7" s="1"/>
  <c r="M61" i="7"/>
  <c r="Q28" i="1"/>
  <c r="Q28" i="7" s="1"/>
  <c r="M28" i="7"/>
  <c r="Q74" i="1"/>
  <c r="Q74" i="7" s="1"/>
  <c r="M74" i="7"/>
  <c r="Q45" i="1"/>
  <c r="Q45" i="7" s="1"/>
  <c r="M45" i="7"/>
  <c r="Q16" i="1"/>
  <c r="Q16" i="7" s="1"/>
  <c r="M16" i="7"/>
  <c r="Q65" i="1"/>
  <c r="Q65" i="7" s="1"/>
  <c r="M65" i="7"/>
  <c r="Q58" i="1"/>
  <c r="Q58" i="7" s="1"/>
  <c r="M58" i="7"/>
  <c r="Q76" i="1"/>
  <c r="Q76" i="7" s="1"/>
  <c r="M76" i="7"/>
  <c r="Q24" i="1"/>
  <c r="Q24" i="7" s="1"/>
  <c r="M24" i="7"/>
  <c r="Q27" i="1"/>
  <c r="Q27" i="7" s="1"/>
  <c r="M27" i="7"/>
  <c r="Q44" i="1"/>
  <c r="Q44" i="7" s="1"/>
  <c r="M44" i="7"/>
  <c r="Q47" i="1"/>
  <c r="Q47" i="7" s="1"/>
  <c r="M47" i="7"/>
  <c r="Q25" i="1"/>
  <c r="Q25" i="7" s="1"/>
  <c r="M25" i="7"/>
  <c r="Q18" i="1"/>
  <c r="Q18" i="7" s="1"/>
  <c r="M18" i="7"/>
  <c r="Q55" i="1"/>
  <c r="Q55" i="7" s="1"/>
  <c r="M55" i="7"/>
  <c r="Q35" i="1"/>
  <c r="Q35" i="7" s="1"/>
  <c r="M35" i="7"/>
  <c r="Q56" i="1"/>
  <c r="Q56" i="7" s="1"/>
  <c r="M56" i="7"/>
  <c r="Q12" i="1"/>
  <c r="Q12" i="7" s="1"/>
  <c r="M12" i="7"/>
  <c r="Q43" i="1"/>
  <c r="Q43" i="7" s="1"/>
  <c r="M43" i="7"/>
  <c r="Q41" i="1"/>
  <c r="Q41" i="7" s="1"/>
  <c r="M41" i="7"/>
  <c r="Q68" i="1"/>
  <c r="Q68" i="7" s="1"/>
  <c r="M68" i="7"/>
  <c r="Q13" i="1"/>
  <c r="Q13" i="7" s="1"/>
  <c r="M13" i="7"/>
  <c r="Q59" i="1"/>
  <c r="Q59" i="7" s="1"/>
  <c r="M59" i="7"/>
  <c r="Q57" i="1"/>
  <c r="Q57" i="7" s="1"/>
  <c r="M57" i="7"/>
  <c r="Q30" i="1"/>
  <c r="Q30" i="7" s="1"/>
  <c r="M30" i="7"/>
  <c r="Q11" i="1"/>
  <c r="Q11" i="7" s="1"/>
  <c r="M11" i="7"/>
  <c r="Q32" i="1"/>
  <c r="Q32" i="7" s="1"/>
  <c r="M32" i="7"/>
  <c r="Q48" i="1"/>
  <c r="Q48" i="7" s="1"/>
  <c r="M48" i="7"/>
  <c r="Q69" i="1"/>
  <c r="Q69" i="7" s="1"/>
  <c r="M69" i="7"/>
  <c r="Q42" i="1"/>
  <c r="Q42" i="7" s="1"/>
  <c r="M42" i="7"/>
  <c r="Q75" i="1"/>
  <c r="Q75" i="7" s="1"/>
  <c r="M75" i="7"/>
  <c r="Q40" i="1"/>
  <c r="Q40" i="7" s="1"/>
  <c r="M40" i="7"/>
  <c r="Q38" i="1"/>
  <c r="Q38" i="7" s="1"/>
  <c r="M38" i="7"/>
  <c r="Q34" i="1"/>
  <c r="Q34" i="7" s="1"/>
  <c r="M34" i="7"/>
  <c r="Q73" i="1"/>
  <c r="Q73" i="7" s="1"/>
  <c r="M73" i="7"/>
  <c r="Q21" i="1"/>
  <c r="Q21" i="7" s="1"/>
  <c r="M21" i="7"/>
  <c r="Q33" i="1"/>
  <c r="Q33" i="7" s="1"/>
  <c r="M33" i="7"/>
  <c r="Q60" i="1"/>
  <c r="Q60" i="7" s="1"/>
  <c r="M60" i="7"/>
  <c r="Q23" i="1"/>
  <c r="Q23" i="7" s="1"/>
  <c r="M23" i="7"/>
  <c r="Q29" i="1"/>
  <c r="Q29" i="7" s="1"/>
  <c r="M29" i="7"/>
  <c r="Q51" i="1"/>
  <c r="Q51" i="7" s="1"/>
  <c r="M51" i="7"/>
  <c r="Q64" i="1"/>
  <c r="Q64" i="7" s="1"/>
  <c r="M64" i="7"/>
  <c r="Q71" i="1"/>
  <c r="Q71" i="7" s="1"/>
  <c r="M71" i="7"/>
  <c r="Q53" i="1"/>
  <c r="Q53" i="7" s="1"/>
  <c r="M53" i="7"/>
  <c r="Q67" i="1"/>
  <c r="Q67" i="7" s="1"/>
  <c r="M67" i="7"/>
  <c r="Q31" i="1"/>
  <c r="Q31" i="7" s="1"/>
  <c r="M31" i="7"/>
  <c r="Q15" i="1"/>
  <c r="Q15" i="7" s="1"/>
  <c r="M15" i="7"/>
  <c r="Q26" i="1"/>
  <c r="Q26" i="7" s="1"/>
  <c r="M26" i="7"/>
  <c r="Q72" i="1"/>
  <c r="Q72" i="7" s="1"/>
  <c r="M72" i="7"/>
  <c r="Q54" i="1"/>
  <c r="Q54" i="7" s="1"/>
  <c r="M54" i="7"/>
  <c r="Q66" i="1"/>
  <c r="Q66" i="7" s="1"/>
  <c r="M66" i="7"/>
  <c r="Q39" i="1"/>
  <c r="Q39" i="7" s="1"/>
  <c r="M39" i="7"/>
  <c r="Q37" i="1"/>
  <c r="Q37" i="7" s="1"/>
  <c r="M37" i="7"/>
  <c r="Q46" i="1"/>
  <c r="Q46" i="7" s="1"/>
  <c r="M46" i="7"/>
  <c r="U63" i="1"/>
  <c r="U63" i="7" s="1"/>
  <c r="P61" i="3" s="1"/>
  <c r="U16" i="1"/>
  <c r="U16" i="7" s="1"/>
  <c r="P14" i="3" s="1"/>
  <c r="U12" i="1"/>
  <c r="U12" i="7" s="1"/>
  <c r="P10" i="3" s="1"/>
  <c r="U23" i="1"/>
  <c r="U23" i="7" s="1"/>
  <c r="P21" i="3" s="1"/>
  <c r="U51" i="1"/>
  <c r="U51" i="7" s="1"/>
  <c r="P49" i="3" s="1"/>
  <c r="U64" i="1"/>
  <c r="U64" i="7" s="1"/>
  <c r="P62" i="3" s="1"/>
  <c r="U52" i="1"/>
  <c r="U52" i="7" s="1"/>
  <c r="P50" i="3" s="1"/>
  <c r="U61" i="1"/>
  <c r="U61" i="7" s="1"/>
  <c r="P59" i="3" s="1"/>
  <c r="U76" i="1"/>
  <c r="U76" i="7" s="1"/>
  <c r="P74" i="3" s="1"/>
  <c r="U27" i="1"/>
  <c r="U27" i="7" s="1"/>
  <c r="P25" i="3" s="1"/>
  <c r="U32" i="1"/>
  <c r="U32" i="7" s="1"/>
  <c r="P30" i="3" s="1"/>
  <c r="U69" i="1"/>
  <c r="U69" i="7" s="1"/>
  <c r="P67" i="3" s="1"/>
  <c r="U42" i="1"/>
  <c r="U42" i="7" s="1"/>
  <c r="P40" i="3" s="1"/>
  <c r="U40" i="1"/>
  <c r="U40" i="7" s="1"/>
  <c r="P38" i="3" s="1"/>
  <c r="U50" i="1"/>
  <c r="U50" i="7" s="1"/>
  <c r="P48" i="3" s="1"/>
  <c r="U19" i="1"/>
  <c r="U19" i="7" s="1"/>
  <c r="P17" i="3" s="1"/>
  <c r="U65" i="1"/>
  <c r="U65" i="7" s="1"/>
  <c r="P63" i="3" s="1"/>
  <c r="U55" i="1"/>
  <c r="U55" i="7" s="1"/>
  <c r="P53" i="3" s="1"/>
  <c r="U57" i="1"/>
  <c r="U57" i="7" s="1"/>
  <c r="P55" i="3" s="1"/>
  <c r="U26" i="1"/>
  <c r="U26" i="7" s="1"/>
  <c r="P24" i="3" s="1"/>
  <c r="U72" i="1"/>
  <c r="U72" i="7" s="1"/>
  <c r="P70" i="3" s="1"/>
  <c r="U54" i="1"/>
  <c r="U54" i="7" s="1"/>
  <c r="P52" i="3" s="1"/>
  <c r="U49" i="1"/>
  <c r="U49" i="7" s="1"/>
  <c r="P47" i="3" s="1"/>
  <c r="U36" i="1"/>
  <c r="U36" i="7" s="1"/>
  <c r="P34" i="3" s="1"/>
  <c r="U58" i="1"/>
  <c r="U58" i="7" s="1"/>
  <c r="P56" i="3" s="1"/>
  <c r="U47" i="1"/>
  <c r="U47" i="7" s="1"/>
  <c r="P45" i="3" s="1"/>
  <c r="U21" i="1"/>
  <c r="U21" i="7" s="1"/>
  <c r="P19" i="3" s="1"/>
  <c r="U53" i="1"/>
  <c r="U53" i="7" s="1"/>
  <c r="P51" i="3" s="1"/>
  <c r="U34" i="1"/>
  <c r="U34" i="7" s="1"/>
  <c r="P32" i="3" s="1"/>
  <c r="U28" i="1"/>
  <c r="U28" i="7" s="1"/>
  <c r="P26" i="3" s="1"/>
  <c r="U62" i="1"/>
  <c r="U62" i="7" s="1"/>
  <c r="P60" i="3" s="1"/>
  <c r="U74" i="1"/>
  <c r="U74" i="7" s="1"/>
  <c r="P72" i="3" s="1"/>
  <c r="U20" i="1"/>
  <c r="U20" i="7" s="1"/>
  <c r="P18" i="3" s="1"/>
  <c r="C4" i="2"/>
  <c r="C5" i="2"/>
  <c r="F9" i="2"/>
  <c r="F8" i="2"/>
  <c r="D8" i="2"/>
  <c r="C5" i="3"/>
  <c r="U37" i="1" l="1"/>
  <c r="U37" i="7" s="1"/>
  <c r="P35" i="3" s="1"/>
  <c r="U44" i="1"/>
  <c r="U44" i="7" s="1"/>
  <c r="P42" i="3" s="1"/>
  <c r="U11" i="1"/>
  <c r="U11" i="7" s="1"/>
  <c r="P9" i="3" s="1"/>
  <c r="U29" i="1"/>
  <c r="U29" i="7" s="1"/>
  <c r="P27" i="3" s="1"/>
  <c r="U66" i="1"/>
  <c r="U66" i="7" s="1"/>
  <c r="P64" i="3" s="1"/>
  <c r="U59" i="1"/>
  <c r="U59" i="7" s="1"/>
  <c r="P57" i="3" s="1"/>
  <c r="U43" i="1"/>
  <c r="U43" i="7" s="1"/>
  <c r="P41" i="3" s="1"/>
  <c r="U56" i="1"/>
  <c r="U56" i="7" s="1"/>
  <c r="P54" i="3" s="1"/>
  <c r="U15" i="1"/>
  <c r="U15" i="7" s="1"/>
  <c r="P13" i="3" s="1"/>
  <c r="U33" i="1"/>
  <c r="U33" i="7" s="1"/>
  <c r="P31" i="3" s="1"/>
  <c r="U48" i="1"/>
  <c r="U48" i="7" s="1"/>
  <c r="P46" i="3" s="1"/>
  <c r="H23" i="2"/>
  <c r="U25" i="1"/>
  <c r="U25" i="7" s="1"/>
  <c r="P23" i="3" s="1"/>
  <c r="U46" i="1"/>
  <c r="U46" i="7" s="1"/>
  <c r="P44" i="3" s="1"/>
  <c r="U31" i="1"/>
  <c r="U31" i="7" s="1"/>
  <c r="P29" i="3" s="1"/>
  <c r="U38" i="1"/>
  <c r="U38" i="7" s="1"/>
  <c r="P36" i="3" s="1"/>
  <c r="U67" i="1"/>
  <c r="U67" i="7" s="1"/>
  <c r="P65" i="3" s="1"/>
  <c r="U68" i="1"/>
  <c r="U68" i="7" s="1"/>
  <c r="P66" i="3" s="1"/>
  <c r="U60" i="1"/>
  <c r="U60" i="7" s="1"/>
  <c r="P58" i="3" s="1"/>
  <c r="U45" i="1"/>
  <c r="U45" i="7" s="1"/>
  <c r="P43" i="3" s="1"/>
  <c r="U71" i="1"/>
  <c r="U71" i="7" s="1"/>
  <c r="P69" i="3" s="1"/>
  <c r="U39" i="1"/>
  <c r="U39" i="7" s="1"/>
  <c r="P37" i="3" s="1"/>
  <c r="U13" i="1"/>
  <c r="U13" i="7" s="1"/>
  <c r="P11" i="3" s="1"/>
  <c r="U75" i="1"/>
  <c r="U75" i="7" s="1"/>
  <c r="P73" i="3" s="1"/>
  <c r="U73" i="1"/>
  <c r="U73" i="7" s="1"/>
  <c r="P71" i="3" s="1"/>
  <c r="U41" i="1"/>
  <c r="U41" i="7" s="1"/>
  <c r="P39" i="3" s="1"/>
  <c r="U18" i="1"/>
  <c r="U18" i="7" s="1"/>
  <c r="P16" i="3" s="1"/>
  <c r="F14" i="2"/>
  <c r="C22" i="2"/>
  <c r="G14" i="2"/>
  <c r="C23" i="2"/>
  <c r="P110" i="1"/>
  <c r="P110" i="7" s="1"/>
  <c r="P109" i="1"/>
  <c r="P109" i="7" s="1"/>
  <c r="P108" i="1"/>
  <c r="P108" i="7" s="1"/>
  <c r="P107" i="1"/>
  <c r="P107" i="7" s="1"/>
  <c r="P106" i="1"/>
  <c r="P106" i="7" s="1"/>
  <c r="P105" i="1"/>
  <c r="P105" i="7" s="1"/>
  <c r="P104" i="1"/>
  <c r="P104" i="7" s="1"/>
  <c r="P103" i="1"/>
  <c r="P103" i="7" s="1"/>
  <c r="P102" i="1"/>
  <c r="P102" i="7" s="1"/>
  <c r="P101" i="1"/>
  <c r="P101" i="7" s="1"/>
  <c r="P100" i="1"/>
  <c r="P100" i="7" s="1"/>
  <c r="P99" i="1"/>
  <c r="P99" i="7" s="1"/>
  <c r="P98" i="1"/>
  <c r="P98" i="7" s="1"/>
  <c r="P97" i="1"/>
  <c r="P97" i="7" s="1"/>
  <c r="P96" i="1"/>
  <c r="P96" i="7" s="1"/>
  <c r="P95" i="1"/>
  <c r="P95" i="7" s="1"/>
  <c r="P94" i="1"/>
  <c r="P94" i="7" s="1"/>
  <c r="P93" i="1"/>
  <c r="P93" i="7" s="1"/>
  <c r="P92" i="1"/>
  <c r="P92" i="7" s="1"/>
  <c r="P91" i="1"/>
  <c r="P91" i="7" s="1"/>
  <c r="P90" i="1"/>
  <c r="P90" i="7" s="1"/>
  <c r="P89" i="1"/>
  <c r="P89" i="7" s="1"/>
  <c r="P88" i="1"/>
  <c r="P88" i="7" s="1"/>
  <c r="P87" i="1"/>
  <c r="P87" i="7" s="1"/>
  <c r="P86" i="1"/>
  <c r="P86" i="7" s="1"/>
  <c r="P85" i="1"/>
  <c r="P85" i="7" s="1"/>
  <c r="P84" i="1"/>
  <c r="P84" i="7" s="1"/>
  <c r="P83" i="1"/>
  <c r="P83" i="7" s="1"/>
  <c r="P82" i="1"/>
  <c r="P82" i="7" s="1"/>
  <c r="P81" i="1"/>
  <c r="P81" i="7" s="1"/>
  <c r="P80" i="1"/>
  <c r="P80" i="7" s="1"/>
  <c r="P79" i="1"/>
  <c r="P79" i="7" s="1"/>
  <c r="P78" i="1"/>
  <c r="P78" i="7" s="1"/>
  <c r="P77" i="1"/>
  <c r="P77" i="7" s="1"/>
  <c r="P76" i="1"/>
  <c r="P76" i="7" s="1"/>
  <c r="P75" i="1"/>
  <c r="P75" i="7" s="1"/>
  <c r="P74" i="1"/>
  <c r="P74" i="7" s="1"/>
  <c r="P73" i="1"/>
  <c r="P73" i="7" s="1"/>
  <c r="P72" i="1"/>
  <c r="P72" i="7" s="1"/>
  <c r="P71" i="1"/>
  <c r="P71" i="7" s="1"/>
  <c r="P70" i="1"/>
  <c r="P70" i="7" s="1"/>
  <c r="P69" i="1"/>
  <c r="P69" i="7" s="1"/>
  <c r="P68" i="1"/>
  <c r="P68" i="7" s="1"/>
  <c r="P67" i="1"/>
  <c r="P67" i="7" s="1"/>
  <c r="P66" i="1"/>
  <c r="P66" i="7" s="1"/>
  <c r="P65" i="1"/>
  <c r="P65" i="7" s="1"/>
  <c r="P64" i="1"/>
  <c r="P64" i="7" s="1"/>
  <c r="P63" i="1"/>
  <c r="P63" i="7" s="1"/>
  <c r="P62" i="1"/>
  <c r="P62" i="7" s="1"/>
  <c r="P61" i="1"/>
  <c r="P61" i="7" s="1"/>
  <c r="P60" i="1"/>
  <c r="P60" i="7" s="1"/>
  <c r="P59" i="1"/>
  <c r="P59" i="7" s="1"/>
  <c r="P58" i="1"/>
  <c r="P58" i="7" s="1"/>
  <c r="P57" i="1"/>
  <c r="P57" i="7" s="1"/>
  <c r="P56" i="1"/>
  <c r="P56" i="7" s="1"/>
  <c r="P55" i="1"/>
  <c r="P55" i="7" s="1"/>
  <c r="P54" i="1"/>
  <c r="P54" i="7" s="1"/>
  <c r="P53" i="1"/>
  <c r="P53" i="7" s="1"/>
  <c r="P52" i="1"/>
  <c r="P52" i="7" s="1"/>
  <c r="P51" i="1"/>
  <c r="P51" i="7" s="1"/>
  <c r="P50" i="1"/>
  <c r="P50" i="7" s="1"/>
  <c r="P49" i="1"/>
  <c r="P49" i="7" s="1"/>
  <c r="P48" i="1"/>
  <c r="P48" i="7" s="1"/>
  <c r="P47" i="1"/>
  <c r="P47" i="7" s="1"/>
  <c r="P46" i="1"/>
  <c r="P46" i="7" s="1"/>
  <c r="P45" i="1"/>
  <c r="P45" i="7" s="1"/>
  <c r="P44" i="1"/>
  <c r="P44" i="7" s="1"/>
  <c r="P43" i="1"/>
  <c r="P43" i="7" s="1"/>
  <c r="P42" i="1"/>
  <c r="P42" i="7" s="1"/>
  <c r="P41" i="1"/>
  <c r="P41" i="7" s="1"/>
  <c r="P40" i="1"/>
  <c r="P40" i="7" s="1"/>
  <c r="P39" i="1"/>
  <c r="P39" i="7" s="1"/>
  <c r="P38" i="1"/>
  <c r="P38" i="7" s="1"/>
  <c r="P37" i="1"/>
  <c r="P37" i="7" s="1"/>
  <c r="P36" i="1"/>
  <c r="P36" i="7" s="1"/>
  <c r="P35" i="1"/>
  <c r="P35" i="7" s="1"/>
  <c r="P34" i="1"/>
  <c r="P34" i="7" s="1"/>
  <c r="P33" i="1"/>
  <c r="P33" i="7" s="1"/>
  <c r="P32" i="1"/>
  <c r="P32" i="7" s="1"/>
  <c r="P31" i="1"/>
  <c r="P31" i="7" s="1"/>
  <c r="P30" i="1"/>
  <c r="P30" i="7" s="1"/>
  <c r="P29" i="1"/>
  <c r="P29" i="7" s="1"/>
  <c r="P28" i="1"/>
  <c r="P28" i="7" s="1"/>
  <c r="P27" i="1"/>
  <c r="P27" i="7" s="1"/>
  <c r="P26" i="1"/>
  <c r="P26" i="7" s="1"/>
  <c r="P25" i="1"/>
  <c r="P25" i="7" s="1"/>
  <c r="P24" i="1"/>
  <c r="P24" i="7" s="1"/>
  <c r="P23" i="1"/>
  <c r="P23" i="7" s="1"/>
  <c r="P22" i="1"/>
  <c r="P22" i="7" s="1"/>
  <c r="P21" i="1"/>
  <c r="P21" i="7" s="1"/>
  <c r="P20" i="1"/>
  <c r="P20" i="7" s="1"/>
  <c r="P19" i="1"/>
  <c r="P19" i="7" s="1"/>
  <c r="P18" i="1"/>
  <c r="P18" i="7" s="1"/>
  <c r="P17" i="1"/>
  <c r="P17" i="7" s="1"/>
  <c r="P16" i="1"/>
  <c r="P16" i="7" s="1"/>
  <c r="P15" i="1"/>
  <c r="P15" i="7" s="1"/>
  <c r="P14" i="1"/>
  <c r="P14" i="7" s="1"/>
  <c r="P13" i="1"/>
  <c r="P13" i="7" s="1"/>
  <c r="P12" i="1"/>
  <c r="P12" i="7" s="1"/>
  <c r="P11" i="1"/>
  <c r="R10" i="2" l="1"/>
  <c r="N22" i="2" s="1"/>
  <c r="P11" i="2"/>
  <c r="L23" i="2" s="1"/>
  <c r="R11" i="2"/>
  <c r="N23" i="2" s="1"/>
  <c r="Q10" i="2"/>
  <c r="M22" i="2" s="1"/>
  <c r="P10" i="2"/>
  <c r="L22" i="2" s="1"/>
  <c r="Q11" i="2"/>
  <c r="M23" i="2" s="1"/>
  <c r="P11" i="7"/>
  <c r="S10" i="2"/>
  <c r="O22" i="2" s="1"/>
  <c r="S11" i="2"/>
  <c r="O23" i="2" s="1"/>
  <c r="C24" i="2"/>
  <c r="F4" i="1"/>
  <c r="I4" i="1"/>
  <c r="R14" i="2" l="1"/>
  <c r="N24" i="2" s="1"/>
  <c r="Q14" i="2"/>
  <c r="M24" i="2" s="1"/>
  <c r="S14" i="2"/>
  <c r="O24" i="2" s="1"/>
  <c r="E10" i="3"/>
  <c r="P14" i="2"/>
  <c r="L24" i="2" s="1"/>
  <c r="G9" i="2"/>
  <c r="A9" i="2"/>
  <c r="B10" i="3"/>
  <c r="A68" i="3"/>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D107" i="3"/>
  <c r="C107" i="3"/>
  <c r="O107" i="3" s="1"/>
  <c r="B107" i="3"/>
  <c r="D106" i="3"/>
  <c r="C106" i="3"/>
  <c r="O106" i="3" s="1"/>
  <c r="B106" i="3"/>
  <c r="D105" i="3"/>
  <c r="C105" i="3"/>
  <c r="O105" i="3" s="1"/>
  <c r="B105" i="3"/>
  <c r="D104" i="3"/>
  <c r="C104" i="3"/>
  <c r="O104" i="3" s="1"/>
  <c r="B104" i="3"/>
  <c r="D103" i="3"/>
  <c r="C103" i="3"/>
  <c r="O103" i="3" s="1"/>
  <c r="B103" i="3"/>
  <c r="D102" i="3"/>
  <c r="C102" i="3"/>
  <c r="O102" i="3" s="1"/>
  <c r="B102" i="3"/>
  <c r="D101" i="3"/>
  <c r="C101" i="3"/>
  <c r="O101" i="3" s="1"/>
  <c r="B101" i="3"/>
  <c r="D100" i="3"/>
  <c r="C100" i="3"/>
  <c r="O100" i="3" s="1"/>
  <c r="B100" i="3"/>
  <c r="D99" i="3"/>
  <c r="C99" i="3"/>
  <c r="O99" i="3" s="1"/>
  <c r="B99" i="3"/>
  <c r="D98" i="3"/>
  <c r="C98" i="3"/>
  <c r="O98" i="3" s="1"/>
  <c r="B98" i="3"/>
  <c r="D97" i="3"/>
  <c r="C97" i="3"/>
  <c r="O97" i="3" s="1"/>
  <c r="B97" i="3"/>
  <c r="D96" i="3"/>
  <c r="C96" i="3"/>
  <c r="O96" i="3" s="1"/>
  <c r="B96" i="3"/>
  <c r="D95" i="3"/>
  <c r="C95" i="3"/>
  <c r="O95" i="3" s="1"/>
  <c r="B95" i="3"/>
  <c r="D94" i="3"/>
  <c r="C94" i="3"/>
  <c r="O94" i="3" s="1"/>
  <c r="B94" i="3"/>
  <c r="D93" i="3"/>
  <c r="C93" i="3"/>
  <c r="O93" i="3" s="1"/>
  <c r="B93" i="3"/>
  <c r="D92" i="3"/>
  <c r="C92" i="3"/>
  <c r="O92" i="3" s="1"/>
  <c r="B92" i="3"/>
  <c r="D91" i="3"/>
  <c r="C91" i="3"/>
  <c r="O91" i="3" s="1"/>
  <c r="B91" i="3"/>
  <c r="D90" i="3"/>
  <c r="C90" i="3"/>
  <c r="O90" i="3" s="1"/>
  <c r="B90" i="3"/>
  <c r="D89" i="3"/>
  <c r="C89" i="3"/>
  <c r="O89" i="3" s="1"/>
  <c r="B89" i="3"/>
  <c r="D88" i="3"/>
  <c r="C88" i="3"/>
  <c r="O88" i="3" s="1"/>
  <c r="B88" i="3"/>
  <c r="D87" i="3"/>
  <c r="C87" i="3"/>
  <c r="O87" i="3" s="1"/>
  <c r="B87" i="3"/>
  <c r="D86" i="3"/>
  <c r="C86" i="3"/>
  <c r="O86" i="3" s="1"/>
  <c r="B86" i="3"/>
  <c r="D85" i="3"/>
  <c r="C85" i="3"/>
  <c r="O85" i="3" s="1"/>
  <c r="B85" i="3"/>
  <c r="D84" i="3"/>
  <c r="C84" i="3"/>
  <c r="O84" i="3" s="1"/>
  <c r="B84" i="3"/>
  <c r="D83" i="3"/>
  <c r="C83" i="3"/>
  <c r="O83" i="3" s="1"/>
  <c r="B83" i="3"/>
  <c r="D82" i="3"/>
  <c r="C82" i="3"/>
  <c r="O82" i="3" s="1"/>
  <c r="B82" i="3"/>
  <c r="D81" i="3"/>
  <c r="C81" i="3"/>
  <c r="O81" i="3" s="1"/>
  <c r="B81" i="3"/>
  <c r="D80" i="3"/>
  <c r="C80" i="3"/>
  <c r="O80" i="3" s="1"/>
  <c r="B80" i="3"/>
  <c r="D79" i="3"/>
  <c r="C79" i="3"/>
  <c r="O79" i="3" s="1"/>
  <c r="B79" i="3"/>
  <c r="D78" i="3"/>
  <c r="C78" i="3"/>
  <c r="O78" i="3" s="1"/>
  <c r="B78" i="3"/>
  <c r="D77" i="3"/>
  <c r="C77" i="3"/>
  <c r="O77" i="3" s="1"/>
  <c r="B77" i="3"/>
  <c r="D76" i="3"/>
  <c r="C76" i="3"/>
  <c r="O76" i="3" s="1"/>
  <c r="B76" i="3"/>
  <c r="D75" i="3"/>
  <c r="C75" i="3"/>
  <c r="O75" i="3" s="1"/>
  <c r="B75" i="3"/>
  <c r="D74" i="3"/>
  <c r="C74" i="3"/>
  <c r="O74" i="3" s="1"/>
  <c r="B74" i="3"/>
  <c r="D73" i="3"/>
  <c r="C73" i="3"/>
  <c r="O73" i="3" s="1"/>
  <c r="B73" i="3"/>
  <c r="D72" i="3"/>
  <c r="C72" i="3"/>
  <c r="O72" i="3" s="1"/>
  <c r="B72" i="3"/>
  <c r="D71" i="3"/>
  <c r="C71" i="3"/>
  <c r="O71" i="3" s="1"/>
  <c r="B71" i="3"/>
  <c r="D70" i="3"/>
  <c r="C70" i="3"/>
  <c r="O70" i="3" s="1"/>
  <c r="B70" i="3"/>
  <c r="D69" i="3"/>
  <c r="C69" i="3"/>
  <c r="O69" i="3" s="1"/>
  <c r="B69" i="3"/>
  <c r="D68" i="3"/>
  <c r="C68" i="3"/>
  <c r="O68" i="3" s="1"/>
  <c r="B68" i="3"/>
  <c r="A70" i="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B10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1" i="3"/>
  <c r="B9" i="3"/>
  <c r="J23" i="2" l="1"/>
  <c r="I89" i="3"/>
  <c r="L87" i="3"/>
  <c r="N87" i="3"/>
  <c r="M87" i="3"/>
  <c r="L77" i="3"/>
  <c r="N77" i="3"/>
  <c r="M77" i="3"/>
  <c r="L93" i="3"/>
  <c r="N93" i="3"/>
  <c r="M93" i="3"/>
  <c r="N72" i="3"/>
  <c r="L72" i="3"/>
  <c r="M72" i="3"/>
  <c r="N80" i="3"/>
  <c r="L80" i="3"/>
  <c r="M80" i="3"/>
  <c r="L88" i="3"/>
  <c r="N88" i="3"/>
  <c r="M88" i="3"/>
  <c r="N96" i="3"/>
  <c r="L96" i="3"/>
  <c r="M96" i="3"/>
  <c r="N104" i="3"/>
  <c r="L104" i="3"/>
  <c r="M104" i="3"/>
  <c r="L79" i="3"/>
  <c r="N79" i="3"/>
  <c r="M79" i="3"/>
  <c r="N82" i="3"/>
  <c r="L82" i="3"/>
  <c r="M82" i="3"/>
  <c r="N90" i="3"/>
  <c r="L90" i="3"/>
  <c r="M90" i="3"/>
  <c r="N98" i="3"/>
  <c r="L98" i="3"/>
  <c r="M98" i="3"/>
  <c r="L85" i="3"/>
  <c r="N85" i="3"/>
  <c r="M85" i="3"/>
  <c r="N75" i="3"/>
  <c r="L75" i="3"/>
  <c r="M75" i="3"/>
  <c r="N83" i="3"/>
  <c r="L83" i="3"/>
  <c r="M83" i="3"/>
  <c r="N91" i="3"/>
  <c r="L91" i="3"/>
  <c r="M91" i="3"/>
  <c r="N99" i="3"/>
  <c r="L99" i="3"/>
  <c r="M99" i="3"/>
  <c r="N107" i="3"/>
  <c r="L107" i="3"/>
  <c r="M107" i="3"/>
  <c r="L71" i="3"/>
  <c r="N71" i="3"/>
  <c r="M71" i="3"/>
  <c r="N74" i="3"/>
  <c r="L74" i="3"/>
  <c r="M74" i="3"/>
  <c r="N106" i="3"/>
  <c r="L106" i="3"/>
  <c r="M106" i="3"/>
  <c r="L78" i="3"/>
  <c r="N78" i="3"/>
  <c r="M78" i="3"/>
  <c r="L86" i="3"/>
  <c r="N86" i="3"/>
  <c r="M86" i="3"/>
  <c r="L94" i="3"/>
  <c r="N94" i="3"/>
  <c r="M94" i="3"/>
  <c r="L102" i="3"/>
  <c r="N102" i="3"/>
  <c r="M102" i="3"/>
  <c r="L101" i="3"/>
  <c r="N101" i="3"/>
  <c r="M101" i="3"/>
  <c r="L70" i="3"/>
  <c r="N70" i="3"/>
  <c r="M70" i="3"/>
  <c r="N73" i="3"/>
  <c r="L73" i="3"/>
  <c r="M73" i="3"/>
  <c r="N81" i="3"/>
  <c r="L81" i="3"/>
  <c r="M81" i="3"/>
  <c r="N89" i="3"/>
  <c r="L89" i="3"/>
  <c r="M89" i="3"/>
  <c r="N97" i="3"/>
  <c r="L97" i="3"/>
  <c r="M97" i="3"/>
  <c r="N105" i="3"/>
  <c r="L105" i="3"/>
  <c r="M105" i="3"/>
  <c r="L95" i="3"/>
  <c r="N95" i="3"/>
  <c r="M95" i="3"/>
  <c r="L103" i="3"/>
  <c r="N103" i="3"/>
  <c r="M103" i="3"/>
  <c r="L69" i="3"/>
  <c r="N69" i="3"/>
  <c r="M69" i="3"/>
  <c r="N68" i="3"/>
  <c r="L68" i="3"/>
  <c r="M68" i="3"/>
  <c r="L76" i="3"/>
  <c r="N76" i="3"/>
  <c r="M76" i="3"/>
  <c r="L84" i="3"/>
  <c r="N84" i="3"/>
  <c r="M84" i="3"/>
  <c r="L92" i="3"/>
  <c r="N92" i="3"/>
  <c r="M92" i="3"/>
  <c r="L100" i="3"/>
  <c r="N100" i="3"/>
  <c r="M100" i="3"/>
  <c r="F82" i="3"/>
  <c r="I82" i="3" s="1"/>
  <c r="F106" i="3"/>
  <c r="I106" i="3" s="1"/>
  <c r="F69" i="3"/>
  <c r="I69" i="3" s="1"/>
  <c r="F77" i="3"/>
  <c r="I77" i="3" s="1"/>
  <c r="F85" i="3"/>
  <c r="I85" i="3" s="1"/>
  <c r="F93" i="3"/>
  <c r="I93" i="3" s="1"/>
  <c r="F101" i="3"/>
  <c r="I101" i="3" s="1"/>
  <c r="F90" i="3"/>
  <c r="I90" i="3" s="1"/>
  <c r="F72" i="3"/>
  <c r="I72" i="3" s="1"/>
  <c r="F80" i="3"/>
  <c r="I80" i="3" s="1"/>
  <c r="F88" i="3"/>
  <c r="I88" i="3" s="1"/>
  <c r="F96" i="3"/>
  <c r="I96" i="3" s="1"/>
  <c r="F104" i="3"/>
  <c r="I104" i="3" s="1"/>
  <c r="F75" i="3"/>
  <c r="I75" i="3" s="1"/>
  <c r="F83" i="3"/>
  <c r="I83" i="3" s="1"/>
  <c r="F91" i="3"/>
  <c r="I91" i="3" s="1"/>
  <c r="F99" i="3"/>
  <c r="I99" i="3" s="1"/>
  <c r="F107" i="3"/>
  <c r="I107" i="3" s="1"/>
  <c r="F74" i="3"/>
  <c r="I74" i="3" s="1"/>
  <c r="F70" i="3"/>
  <c r="I70" i="3" s="1"/>
  <c r="F78" i="3"/>
  <c r="I78" i="3" s="1"/>
  <c r="F86" i="3"/>
  <c r="I86" i="3" s="1"/>
  <c r="F94" i="3"/>
  <c r="I94" i="3" s="1"/>
  <c r="F102" i="3"/>
  <c r="I102" i="3" s="1"/>
  <c r="F98" i="3"/>
  <c r="I98" i="3" s="1"/>
  <c r="F73" i="3"/>
  <c r="I73" i="3" s="1"/>
  <c r="F81" i="3"/>
  <c r="I81" i="3" s="1"/>
  <c r="F89" i="3"/>
  <c r="F97" i="3"/>
  <c r="I97" i="3" s="1"/>
  <c r="F105" i="3"/>
  <c r="I105" i="3" s="1"/>
  <c r="F68" i="3"/>
  <c r="I68" i="3" s="1"/>
  <c r="F76" i="3"/>
  <c r="I76" i="3" s="1"/>
  <c r="F84" i="3"/>
  <c r="I84" i="3" s="1"/>
  <c r="F92" i="3"/>
  <c r="I92" i="3" s="1"/>
  <c r="F100" i="3"/>
  <c r="I100" i="3" s="1"/>
  <c r="F71" i="3"/>
  <c r="I71" i="3" s="1"/>
  <c r="F79" i="3"/>
  <c r="I79" i="3" s="1"/>
  <c r="F87" i="3"/>
  <c r="I87" i="3" s="1"/>
  <c r="F95" i="3"/>
  <c r="I95" i="3" s="1"/>
  <c r="F103" i="3"/>
  <c r="I103" i="3" s="1"/>
  <c r="E74" i="3"/>
  <c r="H74" i="3" s="1"/>
  <c r="E90" i="3"/>
  <c r="G90" i="3" s="1"/>
  <c r="E106" i="3"/>
  <c r="G106" i="3" s="1"/>
  <c r="E9" i="3"/>
  <c r="E69" i="3"/>
  <c r="G69" i="3" s="1"/>
  <c r="J10" i="3"/>
  <c r="A13" i="2"/>
  <c r="A10" i="2"/>
  <c r="C20" i="2"/>
  <c r="G13" i="2"/>
  <c r="F13" i="2"/>
  <c r="B13" i="3"/>
  <c r="B12" i="3"/>
  <c r="D108" i="3"/>
  <c r="C108" i="3"/>
  <c r="O108" i="3" s="1"/>
  <c r="D67" i="3"/>
  <c r="C67" i="3"/>
  <c r="O67" i="3" s="1"/>
  <c r="D66" i="3"/>
  <c r="C66" i="3"/>
  <c r="O66" i="3" s="1"/>
  <c r="D65" i="3"/>
  <c r="C65" i="3"/>
  <c r="O65" i="3" s="1"/>
  <c r="D64" i="3"/>
  <c r="C64" i="3"/>
  <c r="O64" i="3" s="1"/>
  <c r="D63" i="3"/>
  <c r="C63" i="3"/>
  <c r="O63" i="3" s="1"/>
  <c r="D62" i="3"/>
  <c r="C62" i="3"/>
  <c r="O62" i="3" s="1"/>
  <c r="D61" i="3"/>
  <c r="C61" i="3"/>
  <c r="O61" i="3" s="1"/>
  <c r="D60" i="3"/>
  <c r="C60" i="3"/>
  <c r="O60" i="3" s="1"/>
  <c r="D59" i="3"/>
  <c r="C59" i="3"/>
  <c r="O59" i="3" s="1"/>
  <c r="D58" i="3"/>
  <c r="C58" i="3"/>
  <c r="O58" i="3" s="1"/>
  <c r="D57" i="3"/>
  <c r="C57" i="3"/>
  <c r="O57" i="3" s="1"/>
  <c r="D56" i="3"/>
  <c r="C56" i="3"/>
  <c r="O56" i="3" s="1"/>
  <c r="D55" i="3"/>
  <c r="C55" i="3"/>
  <c r="O55" i="3" s="1"/>
  <c r="D54" i="3"/>
  <c r="C54" i="3"/>
  <c r="O54" i="3" s="1"/>
  <c r="D53" i="3"/>
  <c r="C53" i="3"/>
  <c r="O53" i="3" s="1"/>
  <c r="D52" i="3"/>
  <c r="C52" i="3"/>
  <c r="O52" i="3" s="1"/>
  <c r="D51" i="3"/>
  <c r="C51" i="3"/>
  <c r="O51" i="3" s="1"/>
  <c r="D50" i="3"/>
  <c r="C50" i="3"/>
  <c r="O50" i="3" s="1"/>
  <c r="D49" i="3"/>
  <c r="C49" i="3"/>
  <c r="O49" i="3" s="1"/>
  <c r="D48" i="3"/>
  <c r="C48" i="3"/>
  <c r="O48" i="3" s="1"/>
  <c r="D47" i="3"/>
  <c r="C47" i="3"/>
  <c r="O47" i="3" s="1"/>
  <c r="D46" i="3"/>
  <c r="C46" i="3"/>
  <c r="O46" i="3" s="1"/>
  <c r="D45" i="3"/>
  <c r="C45" i="3"/>
  <c r="O45" i="3" s="1"/>
  <c r="D44" i="3"/>
  <c r="C44" i="3"/>
  <c r="O44" i="3" s="1"/>
  <c r="D43" i="3"/>
  <c r="C43" i="3"/>
  <c r="O43" i="3" s="1"/>
  <c r="D42" i="3"/>
  <c r="C42" i="3"/>
  <c r="O42" i="3" s="1"/>
  <c r="D41" i="3"/>
  <c r="C41" i="3"/>
  <c r="O41" i="3" s="1"/>
  <c r="D40" i="3"/>
  <c r="C40" i="3"/>
  <c r="O40" i="3" s="1"/>
  <c r="D39" i="3"/>
  <c r="C39" i="3"/>
  <c r="O39" i="3" s="1"/>
  <c r="D38" i="3"/>
  <c r="C38" i="3"/>
  <c r="O38" i="3" s="1"/>
  <c r="D37" i="3"/>
  <c r="C37" i="3"/>
  <c r="O37" i="3" s="1"/>
  <c r="D36" i="3"/>
  <c r="C36" i="3"/>
  <c r="O36" i="3" s="1"/>
  <c r="D35" i="3"/>
  <c r="C35" i="3"/>
  <c r="O35" i="3" s="1"/>
  <c r="D34" i="3"/>
  <c r="C34" i="3"/>
  <c r="O34" i="3" s="1"/>
  <c r="D33" i="3"/>
  <c r="C33" i="3"/>
  <c r="O33" i="3" s="1"/>
  <c r="D32" i="3"/>
  <c r="C32" i="3"/>
  <c r="O32" i="3" s="1"/>
  <c r="D31" i="3"/>
  <c r="C31" i="3"/>
  <c r="O31" i="3" s="1"/>
  <c r="D30" i="3"/>
  <c r="C30" i="3"/>
  <c r="O30" i="3" s="1"/>
  <c r="D29" i="3"/>
  <c r="C29" i="3"/>
  <c r="O29" i="3" s="1"/>
  <c r="D28" i="3"/>
  <c r="C28" i="3"/>
  <c r="O28" i="3" s="1"/>
  <c r="D27" i="3"/>
  <c r="C27" i="3"/>
  <c r="O27" i="3" s="1"/>
  <c r="D26" i="3"/>
  <c r="C26" i="3"/>
  <c r="O26" i="3" s="1"/>
  <c r="D25" i="3"/>
  <c r="C25" i="3"/>
  <c r="O25" i="3" s="1"/>
  <c r="D24" i="3"/>
  <c r="C24" i="3"/>
  <c r="O24" i="3" s="1"/>
  <c r="D23" i="3"/>
  <c r="C23" i="3"/>
  <c r="O23" i="3" s="1"/>
  <c r="D22" i="3"/>
  <c r="C22" i="3"/>
  <c r="O22" i="3" s="1"/>
  <c r="D21" i="3"/>
  <c r="C21" i="3"/>
  <c r="O21" i="3" s="1"/>
  <c r="D20" i="3"/>
  <c r="C20" i="3"/>
  <c r="O20" i="3" s="1"/>
  <c r="D19" i="3"/>
  <c r="C19" i="3"/>
  <c r="O19" i="3" s="1"/>
  <c r="D18" i="3"/>
  <c r="C18" i="3"/>
  <c r="O18" i="3" s="1"/>
  <c r="D17" i="3"/>
  <c r="C17" i="3"/>
  <c r="O17" i="3" s="1"/>
  <c r="D16" i="3"/>
  <c r="C16" i="3"/>
  <c r="O16" i="3" s="1"/>
  <c r="D15" i="3"/>
  <c r="C15" i="3"/>
  <c r="O15" i="3" s="1"/>
  <c r="D14" i="3"/>
  <c r="C14" i="3"/>
  <c r="O14" i="3" s="1"/>
  <c r="D13" i="3"/>
  <c r="C13" i="3"/>
  <c r="O13" i="3" s="1"/>
  <c r="D12" i="3"/>
  <c r="C12" i="3"/>
  <c r="O12" i="3" s="1"/>
  <c r="D11" i="3"/>
  <c r="C11" i="3"/>
  <c r="O11" i="3" s="1"/>
  <c r="D10" i="3"/>
  <c r="C10" i="3"/>
  <c r="O10" i="3" s="1"/>
  <c r="D9" i="3"/>
  <c r="I23" i="2" s="1"/>
  <c r="C9" i="3"/>
  <c r="C6" i="3"/>
  <c r="J11" i="2" l="1"/>
  <c r="F23" i="2" s="1"/>
  <c r="J10" i="2"/>
  <c r="N10" i="2"/>
  <c r="J22" i="2" s="1"/>
  <c r="I11" i="2"/>
  <c r="E23" i="2" s="1"/>
  <c r="I10" i="2"/>
  <c r="K10" i="2"/>
  <c r="K11" i="2"/>
  <c r="G23" i="2" s="1"/>
  <c r="H11" i="2"/>
  <c r="D23" i="2" s="1"/>
  <c r="H10" i="2"/>
  <c r="O11" i="2"/>
  <c r="K23" i="2" s="1"/>
  <c r="O10" i="2"/>
  <c r="O9" i="3"/>
  <c r="H106" i="3"/>
  <c r="H90" i="3"/>
  <c r="N17" i="3"/>
  <c r="L17" i="3"/>
  <c r="M17" i="3"/>
  <c r="L37" i="3"/>
  <c r="N37" i="3"/>
  <c r="M37" i="3"/>
  <c r="L45" i="3"/>
  <c r="N45" i="3"/>
  <c r="M45" i="3"/>
  <c r="N65" i="3"/>
  <c r="L65" i="3"/>
  <c r="M65" i="3"/>
  <c r="N10" i="3"/>
  <c r="L10" i="3"/>
  <c r="H10" i="3"/>
  <c r="M10" i="3"/>
  <c r="G10" i="3"/>
  <c r="L14" i="3"/>
  <c r="N14" i="3"/>
  <c r="M14" i="3"/>
  <c r="N18" i="3"/>
  <c r="L18" i="3"/>
  <c r="M18" i="3"/>
  <c r="L22" i="3"/>
  <c r="N22" i="3"/>
  <c r="M22" i="3"/>
  <c r="N26" i="3"/>
  <c r="L26" i="3"/>
  <c r="M26" i="3"/>
  <c r="L30" i="3"/>
  <c r="N30" i="3"/>
  <c r="M30" i="3"/>
  <c r="N34" i="3"/>
  <c r="L34" i="3"/>
  <c r="M34" i="3"/>
  <c r="L38" i="3"/>
  <c r="N38" i="3"/>
  <c r="M38" i="3"/>
  <c r="N42" i="3"/>
  <c r="L42" i="3"/>
  <c r="M42" i="3"/>
  <c r="L46" i="3"/>
  <c r="N46" i="3"/>
  <c r="M46" i="3"/>
  <c r="N50" i="3"/>
  <c r="L50" i="3"/>
  <c r="M50" i="3"/>
  <c r="L54" i="3"/>
  <c r="N54" i="3"/>
  <c r="M54" i="3"/>
  <c r="N58" i="3"/>
  <c r="L58" i="3"/>
  <c r="M58" i="3"/>
  <c r="L62" i="3"/>
  <c r="N62" i="3"/>
  <c r="M62" i="3"/>
  <c r="N66" i="3"/>
  <c r="L66" i="3"/>
  <c r="M66" i="3"/>
  <c r="N25" i="3"/>
  <c r="L25" i="3"/>
  <c r="M25" i="3"/>
  <c r="L53" i="3"/>
  <c r="N53" i="3"/>
  <c r="M53" i="3"/>
  <c r="G74" i="3"/>
  <c r="L21" i="3"/>
  <c r="N21" i="3"/>
  <c r="M21" i="3"/>
  <c r="L61" i="3"/>
  <c r="N61" i="3"/>
  <c r="M61" i="3"/>
  <c r="H69" i="3"/>
  <c r="N19" i="3"/>
  <c r="L19" i="3"/>
  <c r="M19" i="3"/>
  <c r="N27" i="3"/>
  <c r="L27" i="3"/>
  <c r="M27" i="3"/>
  <c r="N35" i="3"/>
  <c r="L35" i="3"/>
  <c r="M35" i="3"/>
  <c r="L39" i="3"/>
  <c r="N39" i="3"/>
  <c r="M39" i="3"/>
  <c r="N43" i="3"/>
  <c r="L43" i="3"/>
  <c r="M43" i="3"/>
  <c r="L47" i="3"/>
  <c r="N47" i="3"/>
  <c r="M47" i="3"/>
  <c r="N51" i="3"/>
  <c r="L51" i="3"/>
  <c r="M51" i="3"/>
  <c r="L55" i="3"/>
  <c r="N55" i="3"/>
  <c r="M55" i="3"/>
  <c r="N59" i="3"/>
  <c r="L59" i="3"/>
  <c r="M59" i="3"/>
  <c r="L63" i="3"/>
  <c r="N63" i="3"/>
  <c r="M63" i="3"/>
  <c r="N67" i="3"/>
  <c r="L67" i="3"/>
  <c r="M67" i="3"/>
  <c r="L13" i="3"/>
  <c r="N13" i="3"/>
  <c r="M13" i="3"/>
  <c r="N33" i="3"/>
  <c r="L33" i="3"/>
  <c r="M33" i="3"/>
  <c r="N41" i="3"/>
  <c r="L41" i="3"/>
  <c r="M41" i="3"/>
  <c r="N57" i="3"/>
  <c r="L57" i="3"/>
  <c r="M57" i="3"/>
  <c r="L15" i="3"/>
  <c r="N15" i="3"/>
  <c r="M15" i="3"/>
  <c r="L31" i="3"/>
  <c r="N31" i="3"/>
  <c r="M31" i="3"/>
  <c r="N9" i="3"/>
  <c r="M9" i="3"/>
  <c r="L9" i="3"/>
  <c r="G9" i="3"/>
  <c r="L29" i="3"/>
  <c r="N29" i="3"/>
  <c r="M29" i="3"/>
  <c r="N49" i="3"/>
  <c r="L49" i="3"/>
  <c r="M49" i="3"/>
  <c r="N11" i="3"/>
  <c r="L11" i="3"/>
  <c r="M11" i="3"/>
  <c r="L23" i="3"/>
  <c r="N23" i="3"/>
  <c r="M23" i="3"/>
  <c r="L12" i="3"/>
  <c r="N12" i="3"/>
  <c r="M12" i="3"/>
  <c r="N16" i="3"/>
  <c r="L16" i="3"/>
  <c r="M16" i="3"/>
  <c r="N20" i="3"/>
  <c r="L20" i="3"/>
  <c r="M20" i="3"/>
  <c r="N24" i="3"/>
  <c r="L24" i="3"/>
  <c r="M24" i="3"/>
  <c r="L28" i="3"/>
  <c r="N28" i="3"/>
  <c r="M28" i="3"/>
  <c r="N32" i="3"/>
  <c r="L32" i="3"/>
  <c r="M32" i="3"/>
  <c r="L36" i="3"/>
  <c r="N36" i="3"/>
  <c r="M36" i="3"/>
  <c r="N40" i="3"/>
  <c r="L40" i="3"/>
  <c r="M40" i="3"/>
  <c r="L44" i="3"/>
  <c r="N44" i="3"/>
  <c r="M44" i="3"/>
  <c r="L48" i="3"/>
  <c r="N48" i="3"/>
  <c r="M48" i="3"/>
  <c r="L52" i="3"/>
  <c r="N52" i="3"/>
  <c r="M52" i="3"/>
  <c r="N56" i="3"/>
  <c r="L56" i="3"/>
  <c r="M56" i="3"/>
  <c r="L60" i="3"/>
  <c r="N60" i="3"/>
  <c r="M60" i="3"/>
  <c r="N64" i="3"/>
  <c r="L64" i="3"/>
  <c r="M64" i="3"/>
  <c r="N108" i="3"/>
  <c r="L108" i="3"/>
  <c r="M108" i="3"/>
  <c r="F11" i="3"/>
  <c r="I11" i="3" s="1"/>
  <c r="F35" i="3"/>
  <c r="I35" i="3" s="1"/>
  <c r="F63" i="3"/>
  <c r="I63" i="3" s="1"/>
  <c r="F12" i="3"/>
  <c r="I12" i="3" s="1"/>
  <c r="F20" i="3"/>
  <c r="I20" i="3" s="1"/>
  <c r="F24" i="3"/>
  <c r="I24" i="3" s="1"/>
  <c r="F28" i="3"/>
  <c r="I28" i="3" s="1"/>
  <c r="F32" i="3"/>
  <c r="I32" i="3" s="1"/>
  <c r="F36" i="3"/>
  <c r="I36" i="3" s="1"/>
  <c r="F40" i="3"/>
  <c r="I40" i="3" s="1"/>
  <c r="F44" i="3"/>
  <c r="I44" i="3" s="1"/>
  <c r="F48" i="3"/>
  <c r="I48" i="3" s="1"/>
  <c r="F52" i="3"/>
  <c r="I52" i="3" s="1"/>
  <c r="F56" i="3"/>
  <c r="I56" i="3" s="1"/>
  <c r="F60" i="3"/>
  <c r="I60" i="3" s="1"/>
  <c r="F64" i="3"/>
  <c r="I64" i="3" s="1"/>
  <c r="F108" i="3"/>
  <c r="I108" i="3" s="1"/>
  <c r="F31" i="3"/>
  <c r="I31" i="3" s="1"/>
  <c r="F55" i="3"/>
  <c r="I55" i="3" s="1"/>
  <c r="F16" i="3"/>
  <c r="I16" i="3" s="1"/>
  <c r="F27" i="3"/>
  <c r="I27" i="3" s="1"/>
  <c r="F47" i="3"/>
  <c r="I47" i="3" s="1"/>
  <c r="F41" i="3"/>
  <c r="I41" i="3" s="1"/>
  <c r="F43" i="3"/>
  <c r="I43" i="3" s="1"/>
  <c r="F17" i="3"/>
  <c r="I17" i="3" s="1"/>
  <c r="F29" i="3"/>
  <c r="I29" i="3" s="1"/>
  <c r="F49" i="3"/>
  <c r="I49" i="3" s="1"/>
  <c r="F65" i="3"/>
  <c r="I65" i="3" s="1"/>
  <c r="F15" i="3"/>
  <c r="I15" i="3" s="1"/>
  <c r="F39" i="3"/>
  <c r="I39" i="3" s="1"/>
  <c r="F59" i="3"/>
  <c r="I59" i="3" s="1"/>
  <c r="F9" i="3"/>
  <c r="I9" i="3" s="1"/>
  <c r="H9" i="3"/>
  <c r="F21" i="3"/>
  <c r="I21" i="3" s="1"/>
  <c r="F33" i="3"/>
  <c r="I33" i="3" s="1"/>
  <c r="F45" i="3"/>
  <c r="I45" i="3" s="1"/>
  <c r="F57" i="3"/>
  <c r="I57" i="3" s="1"/>
  <c r="F14" i="3"/>
  <c r="I14" i="3" s="1"/>
  <c r="F18" i="3"/>
  <c r="I18" i="3" s="1"/>
  <c r="F22" i="3"/>
  <c r="I22" i="3" s="1"/>
  <c r="F30" i="3"/>
  <c r="I30" i="3" s="1"/>
  <c r="F34" i="3"/>
  <c r="I34" i="3" s="1"/>
  <c r="F38" i="3"/>
  <c r="I38" i="3" s="1"/>
  <c r="F42" i="3"/>
  <c r="I42" i="3" s="1"/>
  <c r="F46" i="3"/>
  <c r="I46" i="3" s="1"/>
  <c r="F50" i="3"/>
  <c r="I50" i="3" s="1"/>
  <c r="F54" i="3"/>
  <c r="I54" i="3" s="1"/>
  <c r="F58" i="3"/>
  <c r="I58" i="3" s="1"/>
  <c r="F62" i="3"/>
  <c r="I62" i="3" s="1"/>
  <c r="F66" i="3"/>
  <c r="I66" i="3" s="1"/>
  <c r="F23" i="3"/>
  <c r="I23" i="3" s="1"/>
  <c r="F51" i="3"/>
  <c r="I51" i="3" s="1"/>
  <c r="F13" i="3"/>
  <c r="I13" i="3" s="1"/>
  <c r="F25" i="3"/>
  <c r="I25" i="3" s="1"/>
  <c r="F37" i="3"/>
  <c r="I37" i="3" s="1"/>
  <c r="F53" i="3"/>
  <c r="I53" i="3" s="1"/>
  <c r="F61" i="3"/>
  <c r="I61" i="3" s="1"/>
  <c r="F10" i="3"/>
  <c r="I10" i="3" s="1"/>
  <c r="F26" i="3"/>
  <c r="I26" i="3" s="1"/>
  <c r="F19" i="3"/>
  <c r="I19" i="3" s="1"/>
  <c r="F67" i="3"/>
  <c r="I67" i="3" s="1"/>
  <c r="E107" i="3"/>
  <c r="E89" i="3"/>
  <c r="E23" i="3"/>
  <c r="G23" i="3" s="1"/>
  <c r="E54" i="3"/>
  <c r="H54" i="3" s="1"/>
  <c r="E52" i="3"/>
  <c r="G52" i="3" s="1"/>
  <c r="E27" i="3"/>
  <c r="H27" i="3" s="1"/>
  <c r="E104" i="3"/>
  <c r="J9" i="3"/>
  <c r="E108" i="3"/>
  <c r="H108" i="3" s="1"/>
  <c r="E44" i="3"/>
  <c r="H44" i="3" s="1"/>
  <c r="E83" i="3"/>
  <c r="E19" i="3"/>
  <c r="G19" i="3" s="1"/>
  <c r="E34" i="3"/>
  <c r="H34" i="3" s="1"/>
  <c r="E65" i="3"/>
  <c r="G65" i="3" s="1"/>
  <c r="E96" i="3"/>
  <c r="E32" i="3"/>
  <c r="H32" i="3" s="1"/>
  <c r="E63" i="3"/>
  <c r="H63" i="3" s="1"/>
  <c r="E94" i="3"/>
  <c r="E30" i="3"/>
  <c r="G30" i="3" s="1"/>
  <c r="E53" i="3"/>
  <c r="G53" i="3" s="1"/>
  <c r="E58" i="3"/>
  <c r="H58" i="3" s="1"/>
  <c r="E87" i="3"/>
  <c r="E85" i="3"/>
  <c r="E91" i="3"/>
  <c r="E42" i="3"/>
  <c r="G42" i="3" s="1"/>
  <c r="E73" i="3"/>
  <c r="E40" i="3"/>
  <c r="G40" i="3" s="1"/>
  <c r="E71" i="3"/>
  <c r="E102" i="3"/>
  <c r="E38" i="3"/>
  <c r="H38" i="3" s="1"/>
  <c r="E61" i="3"/>
  <c r="H61" i="3" s="1"/>
  <c r="E100" i="3"/>
  <c r="E36" i="3"/>
  <c r="H36" i="3" s="1"/>
  <c r="E75" i="3"/>
  <c r="E11" i="3"/>
  <c r="H11" i="3" s="1"/>
  <c r="E26" i="3"/>
  <c r="G26" i="3" s="1"/>
  <c r="E57" i="3"/>
  <c r="H57" i="3" s="1"/>
  <c r="E88" i="3"/>
  <c r="E24" i="3"/>
  <c r="H24" i="3" s="1"/>
  <c r="E55" i="3"/>
  <c r="H55" i="3" s="1"/>
  <c r="E86" i="3"/>
  <c r="E22" i="3"/>
  <c r="H22" i="3" s="1"/>
  <c r="E45" i="3"/>
  <c r="H45" i="3" s="1"/>
  <c r="E68" i="3"/>
  <c r="E56" i="3"/>
  <c r="H56" i="3" s="1"/>
  <c r="E60" i="3"/>
  <c r="G60" i="3" s="1"/>
  <c r="E98" i="3"/>
  <c r="E92" i="3"/>
  <c r="E28" i="3"/>
  <c r="H28" i="3" s="1"/>
  <c r="E67" i="3"/>
  <c r="H67" i="3" s="1"/>
  <c r="E49" i="3"/>
  <c r="H49" i="3" s="1"/>
  <c r="E80" i="3"/>
  <c r="E16" i="3"/>
  <c r="H16" i="3" s="1"/>
  <c r="E47" i="3"/>
  <c r="G47" i="3" s="1"/>
  <c r="E78" i="3"/>
  <c r="E14" i="3"/>
  <c r="H14" i="3" s="1"/>
  <c r="E37" i="3"/>
  <c r="G37" i="3" s="1"/>
  <c r="J69" i="3"/>
  <c r="E84" i="3"/>
  <c r="E20" i="3"/>
  <c r="G20" i="3" s="1"/>
  <c r="E59" i="3"/>
  <c r="G59" i="3" s="1"/>
  <c r="E82" i="3"/>
  <c r="E105" i="3"/>
  <c r="E41" i="3"/>
  <c r="G41" i="3" s="1"/>
  <c r="E72" i="3"/>
  <c r="E103" i="3"/>
  <c r="E39" i="3"/>
  <c r="G39" i="3" s="1"/>
  <c r="E70" i="3"/>
  <c r="E101" i="3"/>
  <c r="E29" i="3"/>
  <c r="H29" i="3" s="1"/>
  <c r="E43" i="3"/>
  <c r="H43" i="3" s="1"/>
  <c r="E76" i="3"/>
  <c r="E51" i="3"/>
  <c r="G51" i="3" s="1"/>
  <c r="E66" i="3"/>
  <c r="H66" i="3" s="1"/>
  <c r="E97" i="3"/>
  <c r="E33" i="3"/>
  <c r="G33" i="3" s="1"/>
  <c r="E64" i="3"/>
  <c r="H64" i="3" s="1"/>
  <c r="E95" i="3"/>
  <c r="E31" i="3"/>
  <c r="G31" i="3" s="1"/>
  <c r="E62" i="3"/>
  <c r="G62" i="3" s="1"/>
  <c r="E93" i="3"/>
  <c r="E21" i="3"/>
  <c r="H21" i="3" s="1"/>
  <c r="J106" i="3"/>
  <c r="J74" i="3"/>
  <c r="E25" i="3"/>
  <c r="G25" i="3" s="1"/>
  <c r="E99" i="3"/>
  <c r="E35" i="3"/>
  <c r="H35" i="3" s="1"/>
  <c r="E50" i="3"/>
  <c r="G50" i="3" s="1"/>
  <c r="E81" i="3"/>
  <c r="E17" i="3"/>
  <c r="E48" i="3"/>
  <c r="G48" i="3" s="1"/>
  <c r="E79" i="3"/>
  <c r="E15" i="3"/>
  <c r="G15" i="3" s="1"/>
  <c r="E46" i="3"/>
  <c r="H46" i="3" s="1"/>
  <c r="E77" i="3"/>
  <c r="A11" i="2"/>
  <c r="A14" i="2"/>
  <c r="E18" i="3"/>
  <c r="H18" i="3" s="1"/>
  <c r="E13" i="3"/>
  <c r="G13" i="3" s="1"/>
  <c r="E12" i="3"/>
  <c r="H12" i="3" s="1"/>
  <c r="C21" i="2"/>
  <c r="N14" i="2" l="1"/>
  <c r="J24" i="2" s="1"/>
  <c r="G22" i="2"/>
  <c r="K14" i="2"/>
  <c r="G24" i="2" s="1"/>
  <c r="N8" i="2"/>
  <c r="E22" i="2"/>
  <c r="I14" i="2"/>
  <c r="E24" i="2" s="1"/>
  <c r="N9" i="2"/>
  <c r="J20" i="2" s="1"/>
  <c r="K22" i="2"/>
  <c r="O14" i="2"/>
  <c r="K24" i="2" s="1"/>
  <c r="J14" i="2"/>
  <c r="F24" i="2" s="1"/>
  <c r="F22" i="2"/>
  <c r="H14" i="2"/>
  <c r="D24" i="2" s="1"/>
  <c r="D22" i="2"/>
  <c r="H17" i="3"/>
  <c r="K9" i="2"/>
  <c r="G20" i="2" s="1"/>
  <c r="I9" i="2"/>
  <c r="E20" i="2" s="1"/>
  <c r="H9" i="2"/>
  <c r="D20" i="2" s="1"/>
  <c r="K8" i="2"/>
  <c r="G19" i="2" s="1"/>
  <c r="J9" i="2"/>
  <c r="F20" i="2" s="1"/>
  <c r="J8" i="2"/>
  <c r="F19" i="2" s="1"/>
  <c r="I8" i="2"/>
  <c r="E19" i="2" s="1"/>
  <c r="H8" i="2"/>
  <c r="D19" i="2" s="1"/>
  <c r="M10" i="2"/>
  <c r="I22" i="2" s="1"/>
  <c r="L10" i="2"/>
  <c r="G14" i="3"/>
  <c r="G32" i="3"/>
  <c r="H52" i="3"/>
  <c r="G24" i="3"/>
  <c r="G64" i="3"/>
  <c r="G56" i="3"/>
  <c r="G12" i="3"/>
  <c r="G55" i="3"/>
  <c r="H62" i="3"/>
  <c r="H40" i="3"/>
  <c r="G22" i="3"/>
  <c r="G17" i="3"/>
  <c r="G36" i="3"/>
  <c r="G57" i="3"/>
  <c r="H39" i="3"/>
  <c r="H51" i="3"/>
  <c r="H25" i="3"/>
  <c r="G58" i="3"/>
  <c r="H42" i="3"/>
  <c r="H31" i="3"/>
  <c r="G43" i="3"/>
  <c r="H99" i="3"/>
  <c r="G99" i="3"/>
  <c r="H95" i="3"/>
  <c r="G95" i="3"/>
  <c r="H82" i="3"/>
  <c r="G82" i="3"/>
  <c r="H88" i="3"/>
  <c r="G88" i="3"/>
  <c r="H87" i="3"/>
  <c r="G87" i="3"/>
  <c r="H60" i="3"/>
  <c r="H48" i="3"/>
  <c r="G49" i="3"/>
  <c r="H47" i="3"/>
  <c r="G54" i="3"/>
  <c r="H30" i="3"/>
  <c r="H65" i="3"/>
  <c r="G101" i="3"/>
  <c r="H101" i="3"/>
  <c r="G102" i="3"/>
  <c r="H102" i="3"/>
  <c r="G44" i="3"/>
  <c r="G28" i="3"/>
  <c r="H23" i="3"/>
  <c r="H41" i="3"/>
  <c r="H13" i="3"/>
  <c r="G63" i="3"/>
  <c r="H59" i="3"/>
  <c r="G27" i="3"/>
  <c r="H19" i="3"/>
  <c r="G21" i="3"/>
  <c r="G66" i="3"/>
  <c r="H50" i="3"/>
  <c r="G34" i="3"/>
  <c r="G45" i="3"/>
  <c r="H37" i="3"/>
  <c r="H68" i="3"/>
  <c r="G68" i="3"/>
  <c r="G46" i="3"/>
  <c r="H103" i="3"/>
  <c r="G103" i="3"/>
  <c r="H75" i="3"/>
  <c r="G75" i="3"/>
  <c r="H73" i="3"/>
  <c r="G73" i="3"/>
  <c r="H94" i="3"/>
  <c r="G94" i="3"/>
  <c r="G89" i="3"/>
  <c r="H89" i="3"/>
  <c r="G108" i="3"/>
  <c r="G16" i="3"/>
  <c r="G67" i="3"/>
  <c r="G35" i="3"/>
  <c r="G61" i="3"/>
  <c r="G38" i="3"/>
  <c r="H53" i="3"/>
  <c r="G84" i="3"/>
  <c r="H84" i="3"/>
  <c r="G83" i="3"/>
  <c r="H83" i="3"/>
  <c r="G81" i="3"/>
  <c r="H81" i="3"/>
  <c r="H93" i="3"/>
  <c r="G93" i="3"/>
  <c r="H72" i="3"/>
  <c r="G72" i="3"/>
  <c r="H86" i="3"/>
  <c r="G86" i="3"/>
  <c r="H107" i="3"/>
  <c r="G107" i="3"/>
  <c r="G29" i="3"/>
  <c r="H15" i="3"/>
  <c r="G18" i="3"/>
  <c r="H79" i="3"/>
  <c r="G79" i="3"/>
  <c r="G70" i="3"/>
  <c r="H70" i="3"/>
  <c r="G71" i="3"/>
  <c r="H71" i="3"/>
  <c r="H20" i="3"/>
  <c r="G11" i="3"/>
  <c r="G76" i="3"/>
  <c r="H76" i="3"/>
  <c r="H92" i="3"/>
  <c r="G92" i="3"/>
  <c r="G100" i="3"/>
  <c r="H100" i="3"/>
  <c r="G91" i="3"/>
  <c r="H91" i="3"/>
  <c r="H33" i="3"/>
  <c r="H26" i="3"/>
  <c r="G80" i="3"/>
  <c r="H80" i="3"/>
  <c r="H97" i="3"/>
  <c r="G97" i="3"/>
  <c r="H77" i="3"/>
  <c r="G77" i="3"/>
  <c r="G105" i="3"/>
  <c r="H105" i="3"/>
  <c r="G78" i="3"/>
  <c r="H78" i="3"/>
  <c r="H98" i="3"/>
  <c r="G98" i="3"/>
  <c r="G85" i="3"/>
  <c r="H85" i="3"/>
  <c r="G96" i="3"/>
  <c r="H96" i="3"/>
  <c r="G104" i="3"/>
  <c r="H104" i="3"/>
  <c r="J16" i="3"/>
  <c r="J94" i="3"/>
  <c r="J44" i="3"/>
  <c r="J45" i="3"/>
  <c r="J14" i="3"/>
  <c r="J53" i="3"/>
  <c r="J86" i="3"/>
  <c r="J27" i="3"/>
  <c r="J57" i="3"/>
  <c r="J49" i="3"/>
  <c r="J56" i="3"/>
  <c r="J50" i="3"/>
  <c r="J99" i="3"/>
  <c r="J93" i="3"/>
  <c r="J31" i="3"/>
  <c r="J51" i="3"/>
  <c r="J43" i="3"/>
  <c r="J29" i="3"/>
  <c r="J70" i="3"/>
  <c r="J103" i="3"/>
  <c r="J41" i="3"/>
  <c r="J82" i="3"/>
  <c r="J20" i="3"/>
  <c r="J67" i="3"/>
  <c r="J92" i="3"/>
  <c r="J60" i="3"/>
  <c r="J68" i="3"/>
  <c r="J40" i="3"/>
  <c r="J72" i="3"/>
  <c r="J33" i="3"/>
  <c r="J77" i="3"/>
  <c r="J90" i="3"/>
  <c r="J48" i="3"/>
  <c r="J35" i="3"/>
  <c r="J21" i="3"/>
  <c r="J62" i="3"/>
  <c r="J95" i="3"/>
  <c r="J66" i="3"/>
  <c r="J76" i="3"/>
  <c r="J101" i="3"/>
  <c r="J39" i="3"/>
  <c r="J59" i="3"/>
  <c r="J84" i="3"/>
  <c r="J28" i="3"/>
  <c r="J98" i="3"/>
  <c r="J73" i="3"/>
  <c r="M9" i="2" l="1"/>
  <c r="I20" i="2" s="1"/>
  <c r="N13" i="2"/>
  <c r="J21" i="2" s="1"/>
  <c r="J19" i="2"/>
  <c r="L9" i="2"/>
  <c r="H20" i="2" s="1"/>
  <c r="M8" i="2"/>
  <c r="I19" i="2" s="1"/>
  <c r="L8" i="2"/>
  <c r="H19" i="2" s="1"/>
  <c r="H13" i="2"/>
  <c r="D21" i="2" s="1"/>
  <c r="M14" i="2"/>
  <c r="I24" i="2" s="1"/>
  <c r="H22" i="2"/>
  <c r="L14" i="2"/>
  <c r="H24" i="2" s="1"/>
  <c r="J83" i="3"/>
  <c r="J65" i="3"/>
  <c r="J34" i="3"/>
  <c r="J97" i="3"/>
  <c r="J32" i="3"/>
  <c r="J36" i="3"/>
  <c r="J13" i="3"/>
  <c r="J81" i="3"/>
  <c r="J107" i="3"/>
  <c r="J64" i="3"/>
  <c r="J58" i="3"/>
  <c r="J54" i="3"/>
  <c r="J61" i="3"/>
  <c r="J18" i="3"/>
  <c r="J71" i="3"/>
  <c r="J23" i="3"/>
  <c r="J37" i="3"/>
  <c r="J85" i="3"/>
  <c r="J19" i="3"/>
  <c r="J105" i="3"/>
  <c r="J52" i="3"/>
  <c r="J63" i="3"/>
  <c r="J26" i="3"/>
  <c r="J80" i="3"/>
  <c r="J42" i="3"/>
  <c r="J24" i="3"/>
  <c r="J17" i="3"/>
  <c r="J11" i="3"/>
  <c r="J91" i="3"/>
  <c r="J104" i="3"/>
  <c r="J100" i="3"/>
  <c r="J15" i="3"/>
  <c r="J30" i="3"/>
  <c r="J47" i="3"/>
  <c r="J79" i="3"/>
  <c r="J22" i="3"/>
  <c r="J96" i="3"/>
  <c r="J75" i="3"/>
  <c r="J78" i="3"/>
  <c r="J38" i="3"/>
  <c r="J25" i="3"/>
  <c r="J87" i="3"/>
  <c r="J88" i="3"/>
  <c r="J108" i="3"/>
  <c r="J55" i="3"/>
  <c r="J89" i="3"/>
  <c r="J102" i="3"/>
  <c r="J46" i="3"/>
  <c r="J12" i="3"/>
  <c r="K13" i="2"/>
  <c r="G21" i="2" s="1"/>
  <c r="J13" i="2"/>
  <c r="F21" i="2" s="1"/>
  <c r="I13" i="2"/>
  <c r="E21" i="2" s="1"/>
  <c r="C8" i="2"/>
  <c r="B8" i="2"/>
  <c r="B9" i="2" s="1"/>
  <c r="A19" i="2"/>
  <c r="A20" i="2" s="1"/>
  <c r="A21" i="2" s="1"/>
  <c r="M13" i="2" l="1"/>
  <c r="I21" i="2" s="1"/>
  <c r="L13" i="2"/>
  <c r="H21" i="2" s="1"/>
  <c r="S9" i="2"/>
  <c r="O20" i="2" s="1"/>
  <c r="P8" i="2"/>
  <c r="R9" i="2"/>
  <c r="N20" i="2" s="1"/>
  <c r="O8" i="2"/>
  <c r="Q9" i="2"/>
  <c r="M20" i="2" s="1"/>
  <c r="P9" i="2"/>
  <c r="L20" i="2" s="1"/>
  <c r="O9" i="2"/>
  <c r="K20" i="2" s="1"/>
  <c r="S8" i="2"/>
  <c r="O19" i="2" s="1"/>
  <c r="Q8" i="2"/>
  <c r="M19" i="2" s="1"/>
  <c r="R8" i="2"/>
  <c r="N19" i="2" s="1"/>
  <c r="B13" i="2"/>
  <c r="B10" i="2"/>
  <c r="C9" i="2"/>
  <c r="C10" i="2" s="1"/>
  <c r="D9" i="2"/>
  <c r="D13" i="2" s="1"/>
  <c r="C19" i="2"/>
  <c r="R13" i="2" l="1"/>
  <c r="N21" i="2" s="1"/>
  <c r="K19" i="2"/>
  <c r="O13" i="2"/>
  <c r="K21" i="2" s="1"/>
  <c r="Q13" i="2"/>
  <c r="M21" i="2" s="1"/>
  <c r="S13" i="2"/>
  <c r="O21" i="2" s="1"/>
  <c r="L19" i="2"/>
  <c r="P13" i="2"/>
  <c r="L21" i="2" s="1"/>
  <c r="C11" i="2"/>
  <c r="C14" i="2"/>
  <c r="B11" i="2"/>
  <c r="B14" i="2"/>
  <c r="C13" i="2"/>
</calcChain>
</file>

<file path=xl/sharedStrings.xml><?xml version="1.0" encoding="utf-8"?>
<sst xmlns="http://schemas.openxmlformats.org/spreadsheetml/2006/main" count="326" uniqueCount="191">
  <si>
    <t>School:</t>
  </si>
  <si>
    <t>Teacher:</t>
  </si>
  <si>
    <t>Grade:</t>
  </si>
  <si>
    <t>Grade 1</t>
  </si>
  <si>
    <t>School ID:</t>
  </si>
  <si>
    <t>Language:</t>
  </si>
  <si>
    <t>Task 1 
(10)</t>
  </si>
  <si>
    <t>Total Score</t>
  </si>
  <si>
    <t>Remarks</t>
  </si>
  <si>
    <t>S/N</t>
  </si>
  <si>
    <t>Name of Learner</t>
  </si>
  <si>
    <t>Date of Asessment</t>
  </si>
  <si>
    <t xml:space="preserve"> </t>
  </si>
  <si>
    <t>Hiligaynon</t>
  </si>
  <si>
    <t>Central Bikol</t>
  </si>
  <si>
    <t>Minasbate</t>
  </si>
  <si>
    <t>Rinconada</t>
  </si>
  <si>
    <t>Tagalog</t>
  </si>
  <si>
    <t>Section</t>
  </si>
  <si>
    <t>Section:</t>
  </si>
  <si>
    <t>Grade</t>
  </si>
  <si>
    <t>Language</t>
  </si>
  <si>
    <t>Number of Learners Enrolled</t>
  </si>
  <si>
    <t>Full Refresher</t>
  </si>
  <si>
    <t>Light Refresher</t>
  </si>
  <si>
    <t>Grade Ready</t>
  </si>
  <si>
    <t>Teacher</t>
  </si>
  <si>
    <t>SCHOOL ID :</t>
  </si>
  <si>
    <t>SCHOOL NAME:</t>
  </si>
  <si>
    <t>Number of Learners Assessed</t>
  </si>
  <si>
    <t>Sex</t>
  </si>
  <si>
    <t>Percent of Learners assessed</t>
  </si>
  <si>
    <t>Moderate Refresher</t>
  </si>
  <si>
    <t>LRN</t>
  </si>
  <si>
    <t xml:space="preserve">Region </t>
  </si>
  <si>
    <t>NCR</t>
  </si>
  <si>
    <t>Akeanon</t>
  </si>
  <si>
    <t>CAR</t>
  </si>
  <si>
    <t>Bahasa Sug</t>
  </si>
  <si>
    <t>Region I</t>
  </si>
  <si>
    <t>Region II</t>
  </si>
  <si>
    <t>Chavacano</t>
  </si>
  <si>
    <t>Region III</t>
  </si>
  <si>
    <t>Region IV-A</t>
  </si>
  <si>
    <t>Ibanag</t>
  </si>
  <si>
    <t xml:space="preserve">Region IV-B </t>
  </si>
  <si>
    <t>Ilocano</t>
  </si>
  <si>
    <t xml:space="preserve">Region V </t>
  </si>
  <si>
    <t>Inabaknon</t>
  </si>
  <si>
    <t>Region VI</t>
  </si>
  <si>
    <t>Ivatan</t>
  </si>
  <si>
    <t xml:space="preserve">Region VII </t>
  </si>
  <si>
    <t>Kapampangan</t>
  </si>
  <si>
    <t xml:space="preserve">Region VIII </t>
  </si>
  <si>
    <t>Region IX</t>
  </si>
  <si>
    <t>Magindanawn</t>
  </si>
  <si>
    <t xml:space="preserve">Region X </t>
  </si>
  <si>
    <t xml:space="preserve">Meranaw </t>
  </si>
  <si>
    <t xml:space="preserve">Region XI </t>
  </si>
  <si>
    <t xml:space="preserve">Region XII </t>
  </si>
  <si>
    <t>Miraya</t>
  </si>
  <si>
    <t xml:space="preserve">Region XIII </t>
  </si>
  <si>
    <t>Pangasinan</t>
  </si>
  <si>
    <t>BARMM</t>
  </si>
  <si>
    <t xml:space="preserve">Sambal </t>
  </si>
  <si>
    <t>Sinugbuanong Binisaya</t>
  </si>
  <si>
    <t>Southern Sorsoganon</t>
  </si>
  <si>
    <t>Surigaonon</t>
  </si>
  <si>
    <t>Waray</t>
  </si>
  <si>
    <t>Yakan</t>
  </si>
  <si>
    <t>Schoo Name:</t>
  </si>
  <si>
    <t>Bikol Libon</t>
  </si>
  <si>
    <t>Buhi-non</t>
  </si>
  <si>
    <t>Caluyanen</t>
  </si>
  <si>
    <t>Cuyonon</t>
  </si>
  <si>
    <t>Northern Catanduanes</t>
  </si>
  <si>
    <t>Southern Catanduanes</t>
  </si>
  <si>
    <t>Northern Sorsoganon</t>
  </si>
  <si>
    <t>West Albay Bikol</t>
  </si>
  <si>
    <t>Other MT</t>
  </si>
  <si>
    <t>Male</t>
  </si>
  <si>
    <t>Female</t>
  </si>
  <si>
    <t>Total</t>
  </si>
  <si>
    <t>Total Assessed :</t>
  </si>
  <si>
    <t>Assessment Part 1</t>
  </si>
  <si>
    <t>Total Enrolment</t>
  </si>
  <si>
    <t>Rhymes 
(Task 2) 
If task 1 score is 0 to 6</t>
  </si>
  <si>
    <t>Story Number</t>
  </si>
  <si>
    <t>Words Read</t>
  </si>
  <si>
    <t>Total Correct Answer</t>
  </si>
  <si>
    <t>Story Number 
1 or 2</t>
  </si>
  <si>
    <t>Part 1 Reading Level</t>
  </si>
  <si>
    <r>
      <t xml:space="preserve">Total 
</t>
    </r>
    <r>
      <rPr>
        <b/>
        <sz val="9"/>
        <color theme="1"/>
        <rFont val="Calibri"/>
        <family val="2"/>
        <scheme val="minor"/>
      </rPr>
      <t>Mins    Secs</t>
    </r>
  </si>
  <si>
    <t>WPM</t>
  </si>
  <si>
    <t>Number of Words per Minute (WPM)</t>
  </si>
  <si>
    <t>Reading</t>
  </si>
  <si>
    <t>0%</t>
  </si>
  <si>
    <t>&lt;50%</t>
  </si>
  <si>
    <t>50%</t>
  </si>
  <si>
    <t>&gt;50%</t>
  </si>
  <si>
    <t>100%</t>
  </si>
  <si>
    <t>Grade 2</t>
  </si>
  <si>
    <t>READING PROFILE</t>
  </si>
  <si>
    <t>Percent (%) of Learners at Each Proficiency Level</t>
  </si>
  <si>
    <t>Total Time Used in Reading 
(Max : 2 Mins)</t>
  </si>
  <si>
    <t>Sentences
(10)</t>
  </si>
  <si>
    <t>Number of words read within 2 mins</t>
  </si>
  <si>
    <t>FILIPINO</t>
  </si>
  <si>
    <t>Filipino</t>
  </si>
  <si>
    <t>GRADE 2 Assessment CLASS SUMMARY</t>
  </si>
  <si>
    <t>ASSESSMENT TYPE</t>
  </si>
  <si>
    <t>GRADE 2 Reading Assessment CLASS RECORD</t>
  </si>
  <si>
    <t>Assessment Part 1
(Word Recognition and Sentences Reading)</t>
  </si>
  <si>
    <t>Story 1</t>
  </si>
  <si>
    <t>Story 2</t>
  </si>
  <si>
    <t>Total Words per Story</t>
  </si>
  <si>
    <t>Hiliray-a (Kinaray-a Iloilo)</t>
  </si>
  <si>
    <t xml:space="preserve">Kinaray-a </t>
  </si>
  <si>
    <t>Grade Level</t>
  </si>
  <si>
    <t>Passage Title</t>
  </si>
  <si>
    <t>Number of Words</t>
  </si>
  <si>
    <t xml:space="preserve"> Story 2</t>
  </si>
  <si>
    <t>An Pagsaud</t>
  </si>
  <si>
    <t>An Sorpresa ni Nanay</t>
  </si>
  <si>
    <t>Isang Kakaibang Araw</t>
  </si>
  <si>
    <t>Ang Pagong at ang Kuheno</t>
  </si>
  <si>
    <t>MAY ESKWELA NA</t>
  </si>
  <si>
    <t xml:space="preserve">SA BARYO NI KALOY </t>
  </si>
  <si>
    <t>SI PLUTO</t>
  </si>
  <si>
    <t>SA KADLAGAN</t>
  </si>
  <si>
    <t>Total Reading Miscues</t>
  </si>
  <si>
    <t>Total Words Per Story</t>
  </si>
  <si>
    <t>Assessment Part 2
 (Reading Fluency and Comprehension)</t>
  </si>
  <si>
    <t>Number of Miscue</t>
  </si>
  <si>
    <t>% of Correct Words Read</t>
  </si>
  <si>
    <t>Observation Level</t>
  </si>
  <si>
    <t>Palda ni Perla</t>
  </si>
  <si>
    <t>Si Ana, Ang Batang Matinahuron</t>
  </si>
  <si>
    <t>Ang Damgo ni Marko</t>
  </si>
  <si>
    <t>Ang Sorpresa</t>
  </si>
  <si>
    <t xml:space="preserve">Naduea Ro Tubi </t>
  </si>
  <si>
    <t>Ro Magmaeanghud</t>
  </si>
  <si>
    <t>Ang Bata nga Parasipal kang Damang</t>
  </si>
  <si>
    <t>Ang Handum ni Lisa</t>
  </si>
  <si>
    <t>ANG BOLA NI GLENDA</t>
  </si>
  <si>
    <t>SI BIMBOY</t>
  </si>
  <si>
    <t>Leaner Experience
(Rating 1-5)</t>
  </si>
  <si>
    <t>Words
(10)</t>
  </si>
  <si>
    <t>Su Bayabas Nila Kamad</t>
  </si>
  <si>
    <t>Su Manga Bedung Ni Saida</t>
  </si>
  <si>
    <t>Level 2</t>
  </si>
  <si>
    <t>Level 4</t>
  </si>
  <si>
    <t>Level 3</t>
  </si>
  <si>
    <t>CRLA3v1</t>
  </si>
  <si>
    <t>Reading Level</t>
  </si>
  <si>
    <t>Criteria</t>
  </si>
  <si>
    <t>Observations Level</t>
  </si>
  <si>
    <t>Low Emerging Reader</t>
  </si>
  <si>
    <t>High Emerging Reader</t>
  </si>
  <si>
    <t>Level 1</t>
  </si>
  <si>
    <t>Reads word by word</t>
  </si>
  <si>
    <t>Developing Reader</t>
  </si>
  <si>
    <t>Reads word in chunks</t>
  </si>
  <si>
    <t>Transitioning Reader</t>
  </si>
  <si>
    <t>Reads fluently but not observing functuation marks</t>
  </si>
  <si>
    <t>Reading At Grade Level</t>
  </si>
  <si>
    <t>Reads fluently with proper expression</t>
  </si>
  <si>
    <t>Learner scores 0 to 10 in Assessment Part 1</t>
  </si>
  <si>
    <t>Learner reads less than 25% of the passage in 2 minutes and cannot answer any of the questions</t>
  </si>
  <si>
    <t>Learner reads between 26% to 50% of  passage accurately in 2 minutes  and answers 1 to 2 question correctly</t>
  </si>
  <si>
    <t>Learner reads between 51% to 75% of  passage accurately in 2 minutes  AND answers 3 to 4 questions correctly.</t>
  </si>
  <si>
    <t>Learner reads between 76% to 100% of  passage accurately in 2 minutes AND answers 5 to 6 questions correctly.</t>
  </si>
  <si>
    <t>Task 2L
Words 
(10)</t>
  </si>
  <si>
    <t>Task 2H
Sentences
(10)</t>
  </si>
  <si>
    <t>Sentence
 (Task 2) 
If task 1 score is 7 to 10
Task 2L=10</t>
  </si>
  <si>
    <t>Total Score = Task 1 Score + Task 2L+Task 2H Score</t>
  </si>
  <si>
    <r>
      <rPr>
        <b/>
        <sz val="9"/>
        <color theme="1"/>
        <rFont val="Calibri"/>
        <family val="2"/>
        <scheme val="minor"/>
      </rPr>
      <t xml:space="preserve">WORDS SCORE 
</t>
    </r>
    <r>
      <rPr>
        <sz val="9"/>
        <color theme="1"/>
        <rFont val="Calibri"/>
        <family val="2"/>
        <scheme val="minor"/>
      </rPr>
      <t xml:space="preserve">0 to 10 – Full Refresher
11 to 16 – Moderate Refresher
</t>
    </r>
    <r>
      <rPr>
        <b/>
        <sz val="9"/>
        <color theme="1"/>
        <rFont val="Calibri"/>
        <family val="2"/>
        <scheme val="minor"/>
      </rPr>
      <t xml:space="preserve">SENTENCE SCORE </t>
    </r>
    <r>
      <rPr>
        <sz val="9"/>
        <color theme="1"/>
        <rFont val="Calibri"/>
        <family val="2"/>
        <scheme val="minor"/>
      </rPr>
      <t xml:space="preserve">
17 to 26 – Light Refresher
27 to 30 – Grade Ready</t>
    </r>
  </si>
  <si>
    <t>WORDS SCORE 
0 to 10 – Full Refresher
11 to 16 – Moderate Refresher
SENTENCE SCORE 
17 to 26 – Light Refresher
27 to 30 – Grade Ready</t>
  </si>
  <si>
    <t>Assessment Part 1 Reading Level</t>
  </si>
  <si>
    <t>% of Total Score</t>
  </si>
  <si>
    <t>Reading Fluency</t>
  </si>
  <si>
    <t>Reading Comprehension</t>
  </si>
  <si>
    <t>Ave. WPM</t>
  </si>
  <si>
    <t>Assessment Part 2 Average Score</t>
  </si>
  <si>
    <t>Average Score</t>
  </si>
  <si>
    <t>Words Per Minute</t>
  </si>
  <si>
    <t>Assessment Part 2</t>
  </si>
  <si>
    <t>Average Word Per Minute</t>
  </si>
  <si>
    <t>CRLA2v1</t>
  </si>
  <si>
    <t>Task 1 – Write the number of Words sounded out correctly</t>
  </si>
  <si>
    <t>CRLA3v3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</si>
</sst>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8" x14ac:knownFonts="1">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b/>
      <sz val="9"/>
      <color theme="1"/>
      <name val="Arial"/>
      <family val="2"/>
    </font>
    <font>
      <sz val="8"/>
      <color theme="1"/>
      <name val="Arial"/>
      <family val="2"/>
    </font>
    <font>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sz val="9"/>
      <color theme="1"/>
      <name val="Calibri"/>
      <family val="2"/>
      <scheme val="minor"/>
    </font>
    <font>
      <b/>
      <sz val="10"/>
      <name val="Arial"/>
      <family val="2"/>
    </font>
    <font>
      <b/>
      <sz val="9"/>
      <name val="Arial"/>
      <family val="2"/>
    </font>
    <font>
      <sz val="8"/>
      <color theme="1"/>
      <name val="Calibri"/>
      <family val="2"/>
      <scheme val="minor"/>
    </font>
    <font>
      <b/>
      <sz val="11"/>
      <color theme="0"/>
      <name val="Calibri"/>
      <family val="2"/>
      <scheme val="minor"/>
    </font>
    <font>
      <sz val="18"/>
      <color theme="1"/>
      <name val="Calibri"/>
      <family val="2"/>
      <scheme val="minor"/>
    </font>
    <font>
      <b/>
      <sz val="14"/>
      <color theme="0"/>
      <name val="Arial"/>
      <family val="2"/>
    </font>
    <font>
      <sz val="11"/>
      <color rgb="FFFF0000"/>
      <name val="Calibri"/>
      <family val="2"/>
      <scheme val="minor"/>
    </font>
    <font>
      <b/>
      <sz val="8"/>
      <name val="Arial"/>
      <family val="2"/>
    </font>
    <font>
      <b/>
      <sz val="8"/>
      <color theme="1"/>
      <name val="Arial"/>
      <family val="2"/>
    </font>
    <font>
      <i/>
      <sz val="10"/>
      <name val="Arial"/>
      <family val="2"/>
    </font>
    <font>
      <i/>
      <sz val="10"/>
      <color theme="1"/>
      <name val="Arial"/>
      <family val="2"/>
    </font>
    <font>
      <sz val="11"/>
      <color theme="1"/>
      <name val="Arial"/>
      <family val="2"/>
    </font>
    <font>
      <b/>
      <i/>
      <sz val="8"/>
      <color theme="1"/>
      <name val="Arial"/>
      <family val="2"/>
    </font>
    <font>
      <b/>
      <sz val="12"/>
      <color theme="1"/>
      <name val="Calibri"/>
      <family val="2"/>
      <scheme val="minor"/>
    </font>
  </fonts>
  <fills count="16">
    <fill>
      <patternFill patternType="none"/>
    </fill>
    <fill>
      <patternFill patternType="gray125"/>
    </fill>
    <fill>
      <patternFill patternType="solid">
        <fgColor rgb="FFFFFFFF"/>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bgColor indexed="64"/>
      </patternFill>
    </fill>
    <fill>
      <patternFill patternType="solid">
        <fgColor theme="7" tint="0.79998168889431442"/>
        <bgColor indexed="64"/>
      </patternFill>
    </fill>
    <fill>
      <patternFill patternType="solid">
        <fgColor theme="1" tint="0.499984740745262"/>
        <bgColor indexed="64"/>
      </patternFill>
    </fill>
    <fill>
      <patternFill patternType="solid">
        <fgColor theme="4" tint="0.79998168889431442"/>
        <bgColor indexed="64"/>
      </patternFill>
    </fill>
  </fills>
  <borders count="58">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top style="medium">
        <color auto="1"/>
      </top>
      <bottom/>
      <diagonal/>
    </border>
    <border>
      <left style="medium">
        <color auto="1"/>
      </left>
      <right style="thin">
        <color auto="1"/>
      </right>
      <top style="thin">
        <color auto="1"/>
      </top>
      <bottom/>
      <diagonal/>
    </border>
    <border>
      <left/>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diagonal/>
    </border>
    <border>
      <left style="medium">
        <color auto="1"/>
      </left>
      <right/>
      <top style="medium">
        <color auto="1"/>
      </top>
      <bottom style="thin">
        <color auto="1"/>
      </bottom>
      <diagonal/>
    </border>
    <border>
      <left style="medium">
        <color auto="1"/>
      </left>
      <right/>
      <top/>
      <bottom style="thin">
        <color auto="1"/>
      </bottom>
      <diagonal/>
    </border>
    <border>
      <left style="medium">
        <color auto="1"/>
      </left>
      <right/>
      <top style="thin">
        <color auto="1"/>
      </top>
      <bottom/>
      <diagonal/>
    </border>
    <border>
      <left/>
      <right style="thin">
        <color auto="1"/>
      </right>
      <top style="thin">
        <color auto="1"/>
      </top>
      <bottom style="medium">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medium">
        <color auto="1"/>
      </left>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s>
  <cellStyleXfs count="2">
    <xf numFmtId="0" fontId="0" fillId="0" borderId="0"/>
    <xf numFmtId="9" fontId="11" fillId="0" borderId="0" applyFont="0" applyFill="0" applyBorder="0" applyAlignment="0" applyProtection="0"/>
  </cellStyleXfs>
  <cellXfs count="379">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left"/>
    </xf>
    <xf numFmtId="0" fontId="0" fillId="4" borderId="8" xfId="0" applyFill="1" applyBorder="1"/>
    <xf numFmtId="0" fontId="0" fillId="0" borderId="8" xfId="0" applyBorder="1"/>
    <xf numFmtId="0" fontId="0" fillId="4" borderId="7" xfId="0" applyFill="1" applyBorder="1"/>
    <xf numFmtId="0" fontId="8" fillId="0" borderId="0" xfId="0" applyFont="1" applyAlignment="1">
      <alignment horizontal="center"/>
    </xf>
    <xf numFmtId="0" fontId="0" fillId="0" borderId="9" xfId="0" applyBorder="1"/>
    <xf numFmtId="0" fontId="0" fillId="9" borderId="0" xfId="0" applyFill="1"/>
    <xf numFmtId="0" fontId="0" fillId="10" borderId="0" xfId="0" applyFill="1"/>
    <xf numFmtId="0" fontId="0" fillId="11" borderId="0" xfId="0" applyFill="1"/>
    <xf numFmtId="0" fontId="0" fillId="0" borderId="12" xfId="0" applyBorder="1"/>
    <xf numFmtId="0" fontId="6" fillId="8" borderId="8" xfId="0" applyFont="1" applyFill="1" applyBorder="1" applyAlignment="1">
      <alignment horizontal="center" vertical="center" wrapText="1"/>
    </xf>
    <xf numFmtId="0" fontId="6" fillId="8" borderId="9" xfId="0" applyFont="1" applyFill="1" applyBorder="1" applyAlignment="1">
      <alignment horizontal="center" vertical="center"/>
    </xf>
    <xf numFmtId="0" fontId="6" fillId="8" borderId="9" xfId="0" applyFont="1" applyFill="1" applyBorder="1" applyAlignment="1">
      <alignment horizontal="center" vertical="center" wrapText="1"/>
    </xf>
    <xf numFmtId="0" fontId="6" fillId="8" borderId="9" xfId="0" applyFont="1" applyFill="1" applyBorder="1" applyAlignment="1">
      <alignment vertical="center"/>
    </xf>
    <xf numFmtId="0" fontId="10" fillId="3" borderId="1" xfId="0" applyFont="1" applyFill="1" applyBorder="1" applyAlignment="1">
      <alignment horizontal="center" vertical="center"/>
    </xf>
    <xf numFmtId="0" fontId="10" fillId="8" borderId="28" xfId="0" applyFont="1" applyFill="1" applyBorder="1" applyAlignment="1">
      <alignment horizontal="center" vertical="center"/>
    </xf>
    <xf numFmtId="0" fontId="10" fillId="8" borderId="29" xfId="0" applyFont="1" applyFill="1" applyBorder="1" applyAlignment="1">
      <alignment horizontal="center" vertical="center"/>
    </xf>
    <xf numFmtId="0" fontId="0" fillId="0" borderId="0" xfId="0" quotePrefix="1"/>
    <xf numFmtId="0" fontId="15" fillId="8" borderId="10" xfId="0" applyFont="1" applyFill="1" applyBorder="1" applyAlignment="1" applyProtection="1">
      <alignment horizontal="center" wrapText="1"/>
      <protection locked="0"/>
    </xf>
    <xf numFmtId="0" fontId="2" fillId="8" borderId="22" xfId="0" applyFont="1" applyFill="1" applyBorder="1" applyAlignment="1">
      <alignment horizontal="center" vertical="center" wrapText="1"/>
    </xf>
    <xf numFmtId="0" fontId="2" fillId="8" borderId="24" xfId="0" applyFont="1" applyFill="1" applyBorder="1" applyAlignment="1">
      <alignment horizontal="center" vertical="center" wrapText="1"/>
    </xf>
    <xf numFmtId="0" fontId="10" fillId="8" borderId="23" xfId="0" applyFont="1" applyFill="1" applyBorder="1" applyAlignment="1">
      <alignment horizontal="center" vertical="center"/>
    </xf>
    <xf numFmtId="0" fontId="10" fillId="8" borderId="24"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0" fillId="0" borderId="10" xfId="0" applyBorder="1" applyAlignment="1" applyProtection="1">
      <alignment horizontal="center"/>
      <protection locked="0"/>
    </xf>
    <xf numFmtId="9" fontId="0" fillId="0" borderId="9" xfId="1" applyFont="1" applyBorder="1" applyAlignment="1">
      <alignment horizontal="center"/>
    </xf>
    <xf numFmtId="9" fontId="0" fillId="0" borderId="9" xfId="0" applyNumberFormat="1" applyBorder="1" applyAlignment="1">
      <alignment horizontal="center"/>
    </xf>
    <xf numFmtId="0" fontId="1" fillId="4" borderId="7" xfId="0" applyFont="1" applyFill="1" applyBorder="1"/>
    <xf numFmtId="0" fontId="1" fillId="0" borderId="5" xfId="0" applyFont="1" applyBorder="1"/>
    <xf numFmtId="9" fontId="1" fillId="4" borderId="5" xfId="0" applyNumberFormat="1" applyFont="1" applyFill="1" applyBorder="1" applyAlignment="1">
      <alignment horizontal="center"/>
    </xf>
    <xf numFmtId="9" fontId="0" fillId="10" borderId="9" xfId="1" applyFont="1" applyFill="1" applyBorder="1" applyAlignment="1">
      <alignment horizontal="center"/>
    </xf>
    <xf numFmtId="9" fontId="0" fillId="10" borderId="10" xfId="1" applyFont="1" applyFill="1" applyBorder="1" applyAlignment="1">
      <alignment horizontal="center"/>
    </xf>
    <xf numFmtId="9" fontId="0" fillId="10" borderId="9" xfId="0" applyNumberFormat="1" applyFill="1" applyBorder="1" applyAlignment="1">
      <alignment horizontal="center"/>
    </xf>
    <xf numFmtId="9" fontId="0" fillId="10" borderId="10" xfId="0" applyNumberFormat="1" applyFill="1" applyBorder="1" applyAlignment="1">
      <alignment horizontal="center"/>
    </xf>
    <xf numFmtId="9" fontId="1" fillId="10" borderId="5" xfId="0" applyNumberFormat="1" applyFont="1" applyFill="1" applyBorder="1" applyAlignment="1">
      <alignment horizontal="center"/>
    </xf>
    <xf numFmtId="9" fontId="1" fillId="10" borderId="6" xfId="0" applyNumberFormat="1" applyFont="1" applyFill="1" applyBorder="1" applyAlignment="1">
      <alignment horizontal="center"/>
    </xf>
    <xf numFmtId="0" fontId="10" fillId="3" borderId="23" xfId="0" applyFont="1" applyFill="1" applyBorder="1" applyAlignment="1">
      <alignment horizontal="center" vertical="center" wrapText="1"/>
    </xf>
    <xf numFmtId="0" fontId="0" fillId="0" borderId="8" xfId="0" applyBorder="1" applyAlignment="1">
      <alignment vertical="center"/>
    </xf>
    <xf numFmtId="0" fontId="0" fillId="4" borderId="8" xfId="0" applyFill="1" applyBorder="1" applyAlignment="1">
      <alignment vertical="center"/>
    </xf>
    <xf numFmtId="1" fontId="0" fillId="4" borderId="9" xfId="0" applyNumberFormat="1" applyFill="1" applyBorder="1" applyAlignment="1">
      <alignment horizontal="left" vertical="center"/>
    </xf>
    <xf numFmtId="0" fontId="0" fillId="4" borderId="9" xfId="0" applyFill="1" applyBorder="1" applyAlignment="1">
      <alignment vertical="center"/>
    </xf>
    <xf numFmtId="0" fontId="0" fillId="4" borderId="9" xfId="0" applyFill="1" applyBorder="1" applyAlignment="1">
      <alignment horizontal="center" vertical="center"/>
    </xf>
    <xf numFmtId="0" fontId="0" fillId="4" borderId="10" xfId="0" applyFill="1" applyBorder="1" applyAlignment="1">
      <alignment horizontal="left" vertical="center" wrapText="1"/>
    </xf>
    <xf numFmtId="1" fontId="0" fillId="0" borderId="9" xfId="0" applyNumberFormat="1" applyBorder="1" applyAlignment="1">
      <alignment horizontal="left" vertical="center"/>
    </xf>
    <xf numFmtId="0" fontId="0" fillId="0" borderId="9" xfId="0" applyBorder="1" applyAlignment="1">
      <alignment vertical="center"/>
    </xf>
    <xf numFmtId="0" fontId="0" fillId="0" borderId="9" xfId="0" applyBorder="1" applyAlignment="1">
      <alignment horizontal="center" vertical="center"/>
    </xf>
    <xf numFmtId="0" fontId="0" fillId="0" borderId="10" xfId="0" applyBorder="1" applyAlignment="1">
      <alignment horizontal="left" vertical="center" wrapText="1"/>
    </xf>
    <xf numFmtId="0" fontId="0" fillId="4" borderId="5" xfId="0" applyFill="1" applyBorder="1" applyAlignment="1">
      <alignment vertical="center"/>
    </xf>
    <xf numFmtId="0" fontId="0" fillId="4" borderId="5" xfId="0" applyFill="1" applyBorder="1" applyAlignment="1">
      <alignment horizontal="center" vertical="center"/>
    </xf>
    <xf numFmtId="0" fontId="0" fillId="4" borderId="6" xfId="0" applyFill="1" applyBorder="1" applyAlignment="1">
      <alignment horizontal="left" vertical="center" wrapText="1"/>
    </xf>
    <xf numFmtId="0" fontId="6" fillId="13" borderId="9" xfId="0" applyFont="1" applyFill="1" applyBorder="1" applyAlignment="1">
      <alignment horizontal="center" vertical="center"/>
    </xf>
    <xf numFmtId="1" fontId="0" fillId="13" borderId="9" xfId="0" applyNumberFormat="1" applyFill="1" applyBorder="1" applyAlignment="1">
      <alignment horizontal="center" vertical="center"/>
    </xf>
    <xf numFmtId="1" fontId="0" fillId="13" borderId="5" xfId="0" applyNumberFormat="1" applyFill="1" applyBorder="1" applyAlignment="1">
      <alignment horizontal="center" vertical="center"/>
    </xf>
    <xf numFmtId="0" fontId="10" fillId="3" borderId="29" xfId="0" applyFont="1" applyFill="1" applyBorder="1" applyAlignment="1">
      <alignment horizontal="center" vertical="center" wrapText="1"/>
    </xf>
    <xf numFmtId="0" fontId="14" fillId="8" borderId="4" xfId="0" applyFont="1" applyFill="1" applyBorder="1" applyAlignment="1" applyProtection="1">
      <alignment horizontal="center" wrapText="1"/>
      <protection locked="0"/>
    </xf>
    <xf numFmtId="0" fontId="9" fillId="5" borderId="34" xfId="0" applyFont="1" applyFill="1" applyBorder="1"/>
    <xf numFmtId="0" fontId="22" fillId="6" borderId="31" xfId="0" applyFont="1" applyFill="1" applyBorder="1" applyAlignment="1">
      <alignment horizontal="center" wrapText="1"/>
    </xf>
    <xf numFmtId="0" fontId="0" fillId="0" borderId="13" xfId="0" applyBorder="1" applyProtection="1">
      <protection locked="0"/>
    </xf>
    <xf numFmtId="0" fontId="0" fillId="0" borderId="13" xfId="0" applyBorder="1" applyAlignment="1" applyProtection="1">
      <alignment horizontal="center"/>
      <protection locked="0"/>
    </xf>
    <xf numFmtId="164" fontId="0" fillId="0" borderId="14" xfId="0" applyNumberFormat="1" applyBorder="1" applyAlignment="1" applyProtection="1">
      <alignment horizontal="center"/>
      <protection locked="0"/>
    </xf>
    <xf numFmtId="0" fontId="0" fillId="0" borderId="12" xfId="0" applyBorder="1" applyAlignment="1" applyProtection="1">
      <alignment horizontal="center" wrapText="1"/>
      <protection locked="0"/>
    </xf>
    <xf numFmtId="0" fontId="0" fillId="0" borderId="13" xfId="0" applyBorder="1" applyAlignment="1" applyProtection="1">
      <alignment horizontal="center" wrapText="1"/>
      <protection locked="0"/>
    </xf>
    <xf numFmtId="1" fontId="0" fillId="4" borderId="13" xfId="0" applyNumberFormat="1" applyFill="1" applyBorder="1" applyAlignment="1">
      <alignment horizontal="center"/>
    </xf>
    <xf numFmtId="1" fontId="0" fillId="4" borderId="14" xfId="0" applyNumberFormat="1" applyFill="1" applyBorder="1" applyAlignment="1">
      <alignment horizontal="center"/>
    </xf>
    <xf numFmtId="1" fontId="0" fillId="0" borderId="12" xfId="0" applyNumberFormat="1" applyBorder="1" applyAlignment="1" applyProtection="1">
      <alignment horizontal="center"/>
      <protection locked="0"/>
    </xf>
    <xf numFmtId="1" fontId="0" fillId="0" borderId="21" xfId="0" applyNumberFormat="1" applyBorder="1" applyAlignment="1" applyProtection="1">
      <alignment horizontal="center"/>
      <protection locked="0"/>
    </xf>
    <xf numFmtId="1" fontId="0" fillId="0" borderId="13" xfId="0" applyNumberFormat="1" applyBorder="1" applyAlignment="1" applyProtection="1">
      <alignment horizontal="center"/>
      <protection locked="0"/>
    </xf>
    <xf numFmtId="1" fontId="0" fillId="0" borderId="14" xfId="0" applyNumberFormat="1" applyBorder="1" applyAlignment="1" applyProtection="1">
      <alignment horizontal="center"/>
      <protection locked="0"/>
    </xf>
    <xf numFmtId="1" fontId="0" fillId="4" borderId="21" xfId="0" applyNumberFormat="1" applyFill="1" applyBorder="1" applyAlignment="1">
      <alignment horizontal="center"/>
    </xf>
    <xf numFmtId="1" fontId="0" fillId="0" borderId="14" xfId="0" applyNumberFormat="1" applyBorder="1" applyProtection="1">
      <protection locked="0"/>
    </xf>
    <xf numFmtId="0" fontId="0" fillId="4" borderId="9" xfId="0" applyFill="1" applyBorder="1" applyProtection="1">
      <protection locked="0"/>
    </xf>
    <xf numFmtId="0" fontId="0" fillId="4" borderId="9" xfId="0" applyFill="1" applyBorder="1" applyAlignment="1" applyProtection="1">
      <alignment horizontal="center"/>
      <protection locked="0"/>
    </xf>
    <xf numFmtId="164" fontId="0" fillId="4" borderId="10" xfId="0" applyNumberFormat="1" applyFill="1" applyBorder="1" applyAlignment="1" applyProtection="1">
      <alignment horizontal="center"/>
      <protection locked="0"/>
    </xf>
    <xf numFmtId="0" fontId="25" fillId="4" borderId="8" xfId="0" applyFont="1" applyFill="1" applyBorder="1" applyAlignment="1" applyProtection="1">
      <alignment horizontal="center" vertical="top" wrapText="1"/>
      <protection locked="0"/>
    </xf>
    <xf numFmtId="0" fontId="0" fillId="4" borderId="9" xfId="0" applyFill="1" applyBorder="1" applyAlignment="1" applyProtection="1">
      <alignment horizontal="center" wrapText="1"/>
      <protection locked="0"/>
    </xf>
    <xf numFmtId="1" fontId="0" fillId="4" borderId="9" xfId="0" applyNumberFormat="1" applyFill="1" applyBorder="1" applyAlignment="1">
      <alignment horizontal="center"/>
    </xf>
    <xf numFmtId="1" fontId="0" fillId="4" borderId="10" xfId="0" applyNumberFormat="1" applyFill="1" applyBorder="1" applyAlignment="1">
      <alignment horizontal="center"/>
    </xf>
    <xf numFmtId="1" fontId="0" fillId="4" borderId="8" xfId="0" applyNumberFormat="1" applyFill="1" applyBorder="1" applyAlignment="1" applyProtection="1">
      <alignment horizontal="center"/>
      <protection locked="0"/>
    </xf>
    <xf numFmtId="1" fontId="0" fillId="4" borderId="16" xfId="0" applyNumberFormat="1" applyFill="1" applyBorder="1" applyAlignment="1" applyProtection="1">
      <alignment horizontal="center"/>
      <protection locked="0"/>
    </xf>
    <xf numFmtId="1" fontId="0" fillId="4" borderId="9" xfId="0" applyNumberFormat="1" applyFill="1" applyBorder="1" applyAlignment="1" applyProtection="1">
      <alignment horizontal="center"/>
      <protection locked="0"/>
    </xf>
    <xf numFmtId="1" fontId="0" fillId="4" borderId="10" xfId="0" applyNumberFormat="1" applyFill="1" applyBorder="1" applyAlignment="1" applyProtection="1">
      <alignment horizontal="center"/>
      <protection locked="0"/>
    </xf>
    <xf numFmtId="1" fontId="0" fillId="4" borderId="16" xfId="0" applyNumberFormat="1" applyFill="1" applyBorder="1" applyAlignment="1">
      <alignment horizontal="center"/>
    </xf>
    <xf numFmtId="1" fontId="0" fillId="4" borderId="10" xfId="0" applyNumberFormat="1" applyFill="1" applyBorder="1" applyProtection="1">
      <protection locked="0"/>
    </xf>
    <xf numFmtId="0" fontId="0" fillId="0" borderId="9" xfId="0" applyBorder="1" applyProtection="1">
      <protection locked="0"/>
    </xf>
    <xf numFmtId="0" fontId="0" fillId="0" borderId="9" xfId="0" applyBorder="1" applyAlignment="1" applyProtection="1">
      <alignment horizontal="center"/>
      <protection locked="0"/>
    </xf>
    <xf numFmtId="164" fontId="0" fillId="0" borderId="10" xfId="0" applyNumberFormat="1" applyBorder="1" applyAlignment="1" applyProtection="1">
      <alignment horizontal="center"/>
      <protection locked="0"/>
    </xf>
    <xf numFmtId="0" fontId="25" fillId="2" borderId="8" xfId="0" applyFont="1" applyFill="1" applyBorder="1" applyAlignment="1" applyProtection="1">
      <alignment horizontal="center" vertical="top" wrapText="1"/>
      <protection locked="0"/>
    </xf>
    <xf numFmtId="1" fontId="0" fillId="0" borderId="9" xfId="0" applyNumberFormat="1" applyBorder="1" applyAlignment="1" applyProtection="1">
      <alignment horizontal="center"/>
      <protection locked="0"/>
    </xf>
    <xf numFmtId="1" fontId="0" fillId="0" borderId="8" xfId="0" applyNumberFormat="1" applyBorder="1" applyAlignment="1" applyProtection="1">
      <alignment horizontal="center"/>
      <protection locked="0"/>
    </xf>
    <xf numFmtId="1" fontId="0" fillId="0" borderId="16" xfId="0" applyNumberFormat="1" applyBorder="1" applyAlignment="1" applyProtection="1">
      <alignment horizontal="center"/>
      <protection locked="0"/>
    </xf>
    <xf numFmtId="1" fontId="0" fillId="0" borderId="10" xfId="0" applyNumberFormat="1" applyBorder="1" applyAlignment="1" applyProtection="1">
      <alignment horizontal="center"/>
      <protection locked="0"/>
    </xf>
    <xf numFmtId="1" fontId="0" fillId="0" borderId="10" xfId="0" applyNumberFormat="1" applyBorder="1" applyProtection="1">
      <protection locked="0"/>
    </xf>
    <xf numFmtId="0" fontId="0" fillId="0" borderId="5" xfId="0" applyBorder="1" applyProtection="1">
      <protection locked="0"/>
    </xf>
    <xf numFmtId="0" fontId="0" fillId="0" borderId="5" xfId="0" applyBorder="1" applyAlignment="1" applyProtection="1">
      <alignment horizontal="center"/>
      <protection locked="0"/>
    </xf>
    <xf numFmtId="164" fontId="0" fillId="0" borderId="6" xfId="0" applyNumberFormat="1" applyBorder="1" applyAlignment="1" applyProtection="1">
      <alignment horizontal="center"/>
      <protection locked="0"/>
    </xf>
    <xf numFmtId="0" fontId="25" fillId="0" borderId="7" xfId="0" applyFont="1" applyBorder="1" applyAlignment="1" applyProtection="1">
      <alignment horizontal="center" vertical="top" wrapText="1"/>
      <protection locked="0"/>
    </xf>
    <xf numFmtId="0" fontId="0" fillId="4" borderId="5" xfId="0" applyFill="1" applyBorder="1" applyAlignment="1" applyProtection="1">
      <alignment horizontal="center" wrapText="1"/>
      <protection locked="0"/>
    </xf>
    <xf numFmtId="1" fontId="0" fillId="4" borderId="5" xfId="0" applyNumberFormat="1" applyFill="1" applyBorder="1" applyAlignment="1" applyProtection="1">
      <alignment horizontal="center"/>
      <protection locked="0"/>
    </xf>
    <xf numFmtId="1" fontId="0" fillId="4" borderId="5" xfId="0" applyNumberFormat="1" applyFill="1" applyBorder="1" applyAlignment="1">
      <alignment horizontal="center"/>
    </xf>
    <xf numFmtId="1" fontId="0" fillId="4" borderId="6" xfId="0" applyNumberFormat="1" applyFill="1" applyBorder="1" applyAlignment="1">
      <alignment horizontal="center"/>
    </xf>
    <xf numFmtId="1" fontId="0" fillId="4" borderId="7" xfId="0" applyNumberFormat="1" applyFill="1" applyBorder="1" applyAlignment="1" applyProtection="1">
      <alignment horizontal="center"/>
      <protection locked="0"/>
    </xf>
    <xf numFmtId="1" fontId="0" fillId="4" borderId="42" xfId="0" applyNumberFormat="1" applyFill="1" applyBorder="1" applyAlignment="1" applyProtection="1">
      <alignment horizontal="center"/>
      <protection locked="0"/>
    </xf>
    <xf numFmtId="1" fontId="0" fillId="4" borderId="6" xfId="0" applyNumberFormat="1" applyFill="1" applyBorder="1" applyAlignment="1" applyProtection="1">
      <alignment horizontal="center"/>
      <protection locked="0"/>
    </xf>
    <xf numFmtId="1" fontId="0" fillId="4" borderId="42" xfId="0" applyNumberFormat="1" applyFill="1" applyBorder="1" applyAlignment="1">
      <alignment horizontal="center"/>
    </xf>
    <xf numFmtId="1" fontId="0" fillId="4" borderId="6" xfId="0" applyNumberFormat="1" applyFill="1" applyBorder="1" applyProtection="1">
      <protection locked="0"/>
    </xf>
    <xf numFmtId="0" fontId="20" fillId="12" borderId="0" xfId="0" applyFont="1" applyFill="1"/>
    <xf numFmtId="0" fontId="9" fillId="5" borderId="32" xfId="0" applyFont="1" applyFill="1" applyBorder="1"/>
    <xf numFmtId="0" fontId="9" fillId="5" borderId="30" xfId="0" applyFont="1" applyFill="1" applyBorder="1"/>
    <xf numFmtId="0" fontId="9" fillId="5" borderId="0" xfId="0" applyFont="1" applyFill="1"/>
    <xf numFmtId="0" fontId="9" fillId="5" borderId="31" xfId="0" applyFont="1" applyFill="1" applyBorder="1"/>
    <xf numFmtId="0" fontId="12" fillId="3" borderId="45" xfId="0" applyFont="1" applyFill="1" applyBorder="1" applyAlignment="1">
      <alignment horizontal="center" vertical="center" wrapText="1"/>
    </xf>
    <xf numFmtId="0" fontId="4" fillId="7" borderId="9" xfId="0" applyFont="1" applyFill="1" applyBorder="1" applyAlignment="1">
      <alignment horizontal="center" vertical="center" wrapText="1"/>
    </xf>
    <xf numFmtId="1" fontId="0" fillId="7" borderId="9" xfId="0" applyNumberFormat="1" applyFill="1" applyBorder="1" applyAlignment="1">
      <alignment horizontal="center"/>
    </xf>
    <xf numFmtId="1" fontId="0" fillId="7" borderId="5" xfId="0" applyNumberFormat="1" applyFill="1" applyBorder="1" applyAlignment="1">
      <alignment horizontal="center"/>
    </xf>
    <xf numFmtId="1" fontId="0" fillId="7" borderId="13" xfId="0" applyNumberFormat="1" applyFill="1" applyBorder="1" applyAlignment="1">
      <alignment horizontal="center"/>
    </xf>
    <xf numFmtId="9" fontId="0" fillId="7" borderId="13" xfId="0" applyNumberFormat="1" applyFill="1" applyBorder="1" applyAlignment="1">
      <alignment horizontal="center"/>
    </xf>
    <xf numFmtId="9" fontId="0" fillId="7" borderId="9" xfId="0" applyNumberFormat="1" applyFill="1" applyBorder="1" applyAlignment="1">
      <alignment horizontal="center"/>
    </xf>
    <xf numFmtId="9" fontId="0" fillId="7" borderId="5" xfId="0" applyNumberFormat="1" applyFill="1" applyBorder="1" applyAlignment="1">
      <alignment horizontal="center"/>
    </xf>
    <xf numFmtId="0" fontId="14" fillId="7" borderId="2" xfId="0" applyFont="1" applyFill="1" applyBorder="1" applyAlignment="1">
      <alignment horizontal="center" wrapText="1"/>
    </xf>
    <xf numFmtId="0" fontId="2" fillId="7" borderId="3" xfId="0" applyFont="1" applyFill="1" applyBorder="1" applyAlignment="1" applyProtection="1">
      <alignment horizontal="center" vertical="center" wrapText="1"/>
      <protection hidden="1"/>
    </xf>
    <xf numFmtId="0" fontId="22" fillId="8" borderId="8" xfId="0" applyFont="1" applyFill="1" applyBorder="1" applyAlignment="1">
      <alignment horizontal="center" vertical="center" wrapText="1"/>
    </xf>
    <xf numFmtId="0" fontId="26" fillId="8" borderId="9" xfId="0" applyFont="1" applyFill="1" applyBorder="1" applyAlignment="1">
      <alignment horizontal="center" vertical="center" wrapText="1"/>
    </xf>
    <xf numFmtId="0" fontId="0" fillId="8" borderId="10" xfId="0" applyFill="1" applyBorder="1" applyAlignment="1">
      <alignment horizontal="center"/>
    </xf>
    <xf numFmtId="0" fontId="24" fillId="0" borderId="6" xfId="0" applyFont="1" applyBorder="1" applyAlignment="1">
      <alignment horizontal="center" wrapText="1"/>
    </xf>
    <xf numFmtId="0" fontId="10" fillId="8" borderId="22" xfId="0" applyFont="1" applyFill="1" applyBorder="1" applyAlignment="1">
      <alignment horizontal="center" vertical="center" wrapText="1"/>
    </xf>
    <xf numFmtId="1" fontId="0" fillId="7" borderId="13" xfId="0" applyNumberFormat="1" applyFill="1" applyBorder="1" applyAlignment="1">
      <alignment horizontal="left"/>
    </xf>
    <xf numFmtId="164" fontId="0" fillId="7" borderId="14" xfId="0" applyNumberFormat="1" applyFill="1" applyBorder="1" applyAlignment="1">
      <alignment horizontal="center"/>
    </xf>
    <xf numFmtId="0" fontId="0" fillId="7" borderId="9" xfId="0" applyFill="1" applyBorder="1"/>
    <xf numFmtId="0" fontId="0" fillId="7" borderId="9" xfId="0" applyFill="1" applyBorder="1" applyAlignment="1">
      <alignment horizontal="center"/>
    </xf>
    <xf numFmtId="164" fontId="0" fillId="7" borderId="10" xfId="0" applyNumberFormat="1" applyFill="1" applyBorder="1" applyAlignment="1">
      <alignment horizontal="center"/>
    </xf>
    <xf numFmtId="0" fontId="0" fillId="7" borderId="5" xfId="0" applyFill="1" applyBorder="1"/>
    <xf numFmtId="0" fontId="0" fillId="7" borderId="5" xfId="0" applyFill="1" applyBorder="1" applyAlignment="1">
      <alignment horizontal="center"/>
    </xf>
    <xf numFmtId="164" fontId="0" fillId="7" borderId="6" xfId="0" applyNumberFormat="1" applyFill="1" applyBorder="1" applyAlignment="1">
      <alignment horizontal="center"/>
    </xf>
    <xf numFmtId="0" fontId="15" fillId="6" borderId="10" xfId="0" applyFont="1" applyFill="1" applyBorder="1" applyAlignment="1">
      <alignment horizontal="center" wrapText="1"/>
    </xf>
    <xf numFmtId="0" fontId="18" fillId="7" borderId="1" xfId="0" applyFont="1" applyFill="1" applyBorder="1" applyAlignment="1">
      <alignment vertical="center"/>
    </xf>
    <xf numFmtId="0" fontId="22" fillId="6" borderId="10" xfId="0" applyFont="1" applyFill="1" applyBorder="1" applyAlignment="1">
      <alignment horizontal="center" wrapText="1"/>
    </xf>
    <xf numFmtId="0" fontId="15" fillId="6" borderId="16" xfId="0" applyFont="1" applyFill="1" applyBorder="1" applyAlignment="1">
      <alignment horizontal="center" wrapText="1"/>
    </xf>
    <xf numFmtId="0" fontId="0" fillId="8" borderId="16" xfId="0" applyFill="1" applyBorder="1" applyAlignment="1">
      <alignment horizontal="center"/>
    </xf>
    <xf numFmtId="0" fontId="21" fillId="6" borderId="16" xfId="0" applyFont="1" applyFill="1" applyBorder="1" applyAlignment="1">
      <alignment horizontal="center" wrapText="1"/>
    </xf>
    <xf numFmtId="0" fontId="23" fillId="0" borderId="42" xfId="0" applyFont="1" applyBorder="1" applyAlignment="1">
      <alignment horizontal="center" wrapText="1"/>
    </xf>
    <xf numFmtId="0" fontId="25" fillId="7" borderId="3" xfId="0" applyFont="1" applyFill="1" applyBorder="1" applyAlignment="1">
      <alignment horizontal="left"/>
    </xf>
    <xf numFmtId="0" fontId="3" fillId="7" borderId="9" xfId="0" applyFont="1" applyFill="1" applyBorder="1" applyAlignment="1">
      <alignment horizontal="left" wrapText="1"/>
    </xf>
    <xf numFmtId="0" fontId="4" fillId="7" borderId="5" xfId="0" applyFont="1" applyFill="1" applyBorder="1" applyAlignment="1">
      <alignment horizontal="left"/>
    </xf>
    <xf numFmtId="0" fontId="14" fillId="8" borderId="51" xfId="0" applyFont="1" applyFill="1" applyBorder="1" applyAlignment="1" applyProtection="1">
      <alignment horizontal="center" wrapText="1"/>
      <protection locked="0"/>
    </xf>
    <xf numFmtId="0" fontId="15" fillId="8" borderId="16" xfId="0" applyFont="1" applyFill="1" applyBorder="1" applyAlignment="1" applyProtection="1">
      <alignment horizontal="center" wrapText="1"/>
      <protection locked="0"/>
    </xf>
    <xf numFmtId="0" fontId="0" fillId="0" borderId="16" xfId="0" applyBorder="1" applyAlignment="1" applyProtection="1">
      <alignment horizontal="center"/>
      <protection locked="0"/>
    </xf>
    <xf numFmtId="0" fontId="21" fillId="6" borderId="0" xfId="0" applyFont="1" applyFill="1" applyAlignment="1">
      <alignment horizontal="center" wrapText="1"/>
    </xf>
    <xf numFmtId="0" fontId="18" fillId="0" borderId="52" xfId="0" applyFont="1" applyBorder="1" applyAlignment="1" applyProtection="1">
      <alignment vertical="center"/>
      <protection locked="0"/>
    </xf>
    <xf numFmtId="0" fontId="0" fillId="0" borderId="53" xfId="0" applyBorder="1" applyAlignment="1" applyProtection="1">
      <alignment horizontal="left" vertical="center"/>
      <protection locked="0"/>
    </xf>
    <xf numFmtId="0" fontId="3" fillId="0" borderId="53" xfId="0" applyFont="1" applyBorder="1" applyAlignment="1" applyProtection="1">
      <alignment vertical="center" wrapText="1"/>
      <protection locked="0"/>
    </xf>
    <xf numFmtId="0" fontId="3" fillId="7" borderId="53" xfId="0" applyFont="1" applyFill="1" applyBorder="1" applyAlignment="1">
      <alignment vertical="center" wrapText="1"/>
    </xf>
    <xf numFmtId="0" fontId="0" fillId="0" borderId="0" xfId="0" applyAlignment="1" applyProtection="1">
      <alignment horizontal="center" vertical="center"/>
      <protection hidden="1"/>
    </xf>
    <xf numFmtId="0" fontId="5" fillId="0" borderId="0" xfId="0" applyFont="1" applyAlignment="1" applyProtection="1">
      <alignment vertical="center"/>
      <protection hidden="1"/>
    </xf>
    <xf numFmtId="0" fontId="5" fillId="0" borderId="0" xfId="0" applyFont="1" applyAlignment="1" applyProtection="1">
      <alignment horizontal="center" vertical="center"/>
      <protection hidden="1"/>
    </xf>
    <xf numFmtId="0" fontId="5"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0" fillId="0" borderId="2" xfId="0" applyFont="1" applyBorder="1" applyAlignment="1" applyProtection="1">
      <alignment vertical="center"/>
      <protection hidden="1"/>
    </xf>
    <xf numFmtId="0" fontId="10" fillId="0" borderId="3" xfId="0" applyFont="1" applyBorder="1" applyAlignment="1" applyProtection="1">
      <alignment vertical="center"/>
      <protection hidden="1"/>
    </xf>
    <xf numFmtId="0" fontId="10" fillId="0" borderId="3" xfId="0" applyFont="1" applyBorder="1" applyAlignment="1" applyProtection="1">
      <alignment horizontal="center" vertical="center"/>
      <protection hidden="1"/>
    </xf>
    <xf numFmtId="0" fontId="10" fillId="0" borderId="3" xfId="0" applyFont="1" applyBorder="1" applyAlignment="1" applyProtection="1">
      <alignment horizontal="center" vertical="center" wrapText="1"/>
      <protection hidden="1"/>
    </xf>
    <xf numFmtId="0" fontId="1" fillId="0" borderId="3" xfId="0" applyFont="1" applyBorder="1" applyAlignment="1" applyProtection="1">
      <alignment horizontal="center" vertical="center" wrapText="1"/>
      <protection hidden="1"/>
    </xf>
    <xf numFmtId="0" fontId="1" fillId="0" borderId="3" xfId="0" applyFont="1" applyBorder="1" applyAlignment="1" applyProtection="1">
      <alignment horizontal="center" vertical="center"/>
      <protection hidden="1"/>
    </xf>
    <xf numFmtId="0" fontId="1" fillId="10" borderId="3" xfId="0" applyFont="1" applyFill="1" applyBorder="1" applyAlignment="1" applyProtection="1">
      <alignment horizontal="center" vertical="center"/>
      <protection hidden="1"/>
    </xf>
    <xf numFmtId="0" fontId="10" fillId="0" borderId="7" xfId="0" applyFont="1" applyBorder="1" applyAlignment="1" applyProtection="1">
      <alignment vertical="center"/>
      <protection hidden="1"/>
    </xf>
    <xf numFmtId="0" fontId="10" fillId="0" borderId="5" xfId="0" applyFont="1" applyBorder="1" applyAlignment="1" applyProtection="1">
      <alignment vertical="center"/>
      <protection hidden="1"/>
    </xf>
    <xf numFmtId="0" fontId="10" fillId="0" borderId="5" xfId="0" applyFont="1" applyBorder="1" applyAlignment="1" applyProtection="1">
      <alignment horizontal="center" vertical="center"/>
      <protection hidden="1"/>
    </xf>
    <xf numFmtId="0" fontId="10"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1" fillId="10" borderId="5" xfId="0" applyFont="1" applyFill="1" applyBorder="1" applyAlignment="1" applyProtection="1">
      <alignment horizontal="center"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protection hidden="1"/>
    </xf>
    <xf numFmtId="0" fontId="5"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0" fillId="10" borderId="9" xfId="0" applyFill="1" applyBorder="1" applyAlignment="1" applyProtection="1">
      <alignment horizontal="center" vertical="center"/>
      <protection hidden="1"/>
    </xf>
    <xf numFmtId="0" fontId="0" fillId="0" borderId="9" xfId="0" applyBorder="1" applyAlignment="1" applyProtection="1">
      <alignment horizontal="center" vertical="center" wrapText="1"/>
      <protection hidden="1"/>
    </xf>
    <xf numFmtId="0" fontId="5" fillId="0" borderId="7" xfId="0" applyFont="1" applyBorder="1" applyAlignment="1" applyProtection="1">
      <alignment vertical="center"/>
      <protection hidden="1"/>
    </xf>
    <xf numFmtId="0" fontId="5" fillId="0" borderId="5" xfId="0" applyFont="1" applyBorder="1" applyAlignment="1" applyProtection="1">
      <alignment vertical="center"/>
      <protection hidden="1"/>
    </xf>
    <xf numFmtId="0" fontId="5" fillId="0" borderId="5" xfId="0" applyFont="1" applyBorder="1" applyAlignment="1" applyProtection="1">
      <alignment horizontal="center" vertical="center"/>
      <protection hidden="1"/>
    </xf>
    <xf numFmtId="0" fontId="5"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0" fontId="0" fillId="10" borderId="5" xfId="0" applyFill="1" applyBorder="1" applyAlignment="1" applyProtection="1">
      <alignment horizontal="center" vertical="center"/>
      <protection hidden="1"/>
    </xf>
    <xf numFmtId="0" fontId="3" fillId="0" borderId="42" xfId="0" applyFont="1" applyBorder="1" applyAlignment="1" applyProtection="1">
      <alignment horizontal="center" wrapText="1"/>
      <protection locked="0"/>
    </xf>
    <xf numFmtId="0" fontId="4" fillId="0" borderId="6" xfId="0" applyFont="1" applyBorder="1" applyAlignment="1" applyProtection="1">
      <alignment horizontal="center" wrapText="1"/>
      <protection locked="0"/>
    </xf>
    <xf numFmtId="1" fontId="0" fillId="0" borderId="5" xfId="0" applyNumberFormat="1" applyBorder="1" applyAlignment="1" applyProtection="1">
      <alignment horizontal="center"/>
      <protection locked="0"/>
    </xf>
    <xf numFmtId="0" fontId="12" fillId="7" borderId="9" xfId="0" applyFont="1" applyFill="1" applyBorder="1" applyAlignment="1" applyProtection="1">
      <alignment horizontal="center" vertical="center" wrapText="1"/>
      <protection hidden="1"/>
    </xf>
    <xf numFmtId="0" fontId="27" fillId="7" borderId="2" xfId="0" applyFont="1" applyFill="1" applyBorder="1" applyAlignment="1">
      <alignment horizontal="center" vertical="center"/>
    </xf>
    <xf numFmtId="0" fontId="27" fillId="7" borderId="3" xfId="0" applyFont="1" applyFill="1" applyBorder="1" applyAlignment="1">
      <alignment horizontal="center" vertical="center" wrapText="1"/>
    </xf>
    <xf numFmtId="0" fontId="1" fillId="0" borderId="8" xfId="0" applyFont="1" applyBorder="1" applyAlignment="1">
      <alignment vertical="center"/>
    </xf>
    <xf numFmtId="0" fontId="0" fillId="0" borderId="0" xfId="0" applyAlignment="1">
      <alignment vertical="center" wrapText="1"/>
    </xf>
    <xf numFmtId="0" fontId="1" fillId="0" borderId="9" xfId="0" applyFont="1" applyBorder="1" applyAlignment="1">
      <alignment horizontal="left" vertical="center" indent="1"/>
    </xf>
    <xf numFmtId="0" fontId="0" fillId="0" borderId="10" xfId="0" applyBorder="1" applyAlignment="1">
      <alignment vertical="center" wrapText="1"/>
    </xf>
    <xf numFmtId="0" fontId="0" fillId="0" borderId="9" xfId="0" applyBorder="1" applyAlignment="1">
      <alignment vertical="center" wrapText="1"/>
    </xf>
    <xf numFmtId="0" fontId="1" fillId="0" borderId="33" xfId="0" applyFont="1" applyBorder="1" applyAlignment="1">
      <alignment vertical="center"/>
    </xf>
    <xf numFmtId="0" fontId="1" fillId="0" borderId="7" xfId="0" applyFont="1" applyBorder="1" applyAlignment="1">
      <alignment vertical="center"/>
    </xf>
    <xf numFmtId="0" fontId="0" fillId="0" borderId="5" xfId="0" applyBorder="1" applyAlignment="1">
      <alignment vertical="center" wrapText="1"/>
    </xf>
    <xf numFmtId="0" fontId="1" fillId="0" borderId="5" xfId="0" applyFont="1" applyBorder="1" applyAlignment="1">
      <alignment horizontal="left" vertical="center" indent="1"/>
    </xf>
    <xf numFmtId="0" fontId="0" fillId="0" borderId="6" xfId="0" applyBorder="1" applyAlignment="1">
      <alignment vertical="center" wrapText="1"/>
    </xf>
    <xf numFmtId="0" fontId="12" fillId="8" borderId="22"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6" fillId="13" borderId="9" xfId="0" applyFont="1" applyFill="1" applyBorder="1" applyAlignment="1">
      <alignment horizontal="center" vertical="center" wrapText="1"/>
    </xf>
    <xf numFmtId="0" fontId="6" fillId="15" borderId="9" xfId="0" applyFont="1" applyFill="1" applyBorder="1" applyAlignment="1">
      <alignment horizontal="center" vertical="center" wrapText="1"/>
    </xf>
    <xf numFmtId="1" fontId="0" fillId="15" borderId="9" xfId="0" applyNumberFormat="1" applyFill="1" applyBorder="1" applyAlignment="1">
      <alignment horizontal="center" vertical="center"/>
    </xf>
    <xf numFmtId="1" fontId="0" fillId="15" borderId="5" xfId="0" applyNumberFormat="1" applyFill="1" applyBorder="1" applyAlignment="1">
      <alignment horizontal="center" vertical="center"/>
    </xf>
    <xf numFmtId="0" fontId="22" fillId="15" borderId="9" xfId="0" applyFont="1" applyFill="1" applyBorder="1" applyAlignment="1">
      <alignment horizontal="center" vertical="center" wrapText="1"/>
    </xf>
    <xf numFmtId="0" fontId="2" fillId="13" borderId="9" xfId="0" applyFont="1" applyFill="1" applyBorder="1" applyAlignment="1">
      <alignment vertical="center" wrapText="1"/>
    </xf>
    <xf numFmtId="0" fontId="22" fillId="13" borderId="9" xfId="0" applyFont="1" applyFill="1" applyBorder="1" applyAlignment="1">
      <alignment horizontal="center" vertical="center" wrapText="1"/>
    </xf>
    <xf numFmtId="0" fontId="10" fillId="10" borderId="3" xfId="0" applyFont="1" applyFill="1" applyBorder="1" applyAlignment="1" applyProtection="1">
      <alignment wrapText="1"/>
      <protection hidden="1"/>
    </xf>
    <xf numFmtId="0" fontId="12" fillId="10" borderId="9" xfId="0" applyFont="1" applyFill="1" applyBorder="1" applyAlignment="1" applyProtection="1">
      <alignment horizontal="center" vertical="center" wrapText="1"/>
      <protection hidden="1"/>
    </xf>
    <xf numFmtId="0" fontId="12" fillId="10" borderId="10" xfId="0" applyFont="1" applyFill="1" applyBorder="1" applyAlignment="1" applyProtection="1">
      <alignment horizontal="center" vertical="center" wrapText="1"/>
      <protection hidden="1"/>
    </xf>
    <xf numFmtId="10" fontId="0" fillId="0" borderId="0" xfId="0" applyNumberFormat="1"/>
    <xf numFmtId="0" fontId="0" fillId="0" borderId="46" xfId="0" applyBorder="1"/>
    <xf numFmtId="0" fontId="1" fillId="0" borderId="0" xfId="0" applyFont="1"/>
    <xf numFmtId="9" fontId="1" fillId="0" borderId="0" xfId="0" applyNumberFormat="1" applyFont="1" applyAlignment="1">
      <alignment horizontal="center"/>
    </xf>
    <xf numFmtId="0" fontId="12" fillId="0" borderId="46" xfId="0" applyFont="1" applyBorder="1" applyAlignment="1" applyProtection="1">
      <alignment horizontal="center" vertical="center" wrapText="1"/>
      <protection hidden="1"/>
    </xf>
    <xf numFmtId="2" fontId="0" fillId="0" borderId="9" xfId="1" applyNumberFormat="1" applyFont="1" applyBorder="1" applyAlignment="1">
      <alignment horizontal="center"/>
    </xf>
    <xf numFmtId="2" fontId="0" fillId="0" borderId="9" xfId="0" applyNumberFormat="1" applyBorder="1" applyAlignment="1">
      <alignment horizontal="center"/>
    </xf>
    <xf numFmtId="2" fontId="1" fillId="4" borderId="5" xfId="0" applyNumberFormat="1" applyFont="1" applyFill="1" applyBorder="1" applyAlignment="1">
      <alignment horizontal="center"/>
    </xf>
    <xf numFmtId="9" fontId="1" fillId="10" borderId="9" xfId="0" applyNumberFormat="1" applyFont="1" applyFill="1" applyBorder="1" applyAlignment="1">
      <alignment horizontal="center"/>
    </xf>
    <xf numFmtId="0" fontId="0" fillId="0" borderId="13" xfId="0" applyBorder="1"/>
    <xf numFmtId="9" fontId="0" fillId="0" borderId="13" xfId="1" applyFont="1" applyBorder="1" applyAlignment="1">
      <alignment horizontal="center"/>
    </xf>
    <xf numFmtId="2" fontId="0" fillId="0" borderId="13" xfId="1" applyNumberFormat="1" applyFont="1" applyBorder="1" applyAlignment="1">
      <alignment horizontal="center"/>
    </xf>
    <xf numFmtId="9" fontId="0" fillId="10" borderId="13" xfId="1" applyFont="1" applyFill="1" applyBorder="1" applyAlignment="1">
      <alignment horizontal="center"/>
    </xf>
    <xf numFmtId="9" fontId="0" fillId="10" borderId="14" xfId="1" applyFont="1" applyFill="1" applyBorder="1" applyAlignment="1">
      <alignment horizontal="center"/>
    </xf>
    <xf numFmtId="0" fontId="1" fillId="7" borderId="12" xfId="0" applyFont="1" applyFill="1" applyBorder="1"/>
    <xf numFmtId="0" fontId="1" fillId="7" borderId="13" xfId="0" applyFont="1" applyFill="1" applyBorder="1"/>
    <xf numFmtId="0" fontId="1" fillId="7" borderId="13" xfId="0" applyFont="1" applyFill="1" applyBorder="1" applyAlignment="1">
      <alignment horizontal="center" wrapText="1"/>
    </xf>
    <xf numFmtId="0" fontId="1" fillId="7" borderId="57" xfId="0" applyFont="1" applyFill="1" applyBorder="1" applyAlignment="1">
      <alignment wrapText="1"/>
    </xf>
    <xf numFmtId="0" fontId="1" fillId="7" borderId="55" xfId="0" applyFont="1" applyFill="1" applyBorder="1" applyAlignment="1">
      <alignment horizontal="center"/>
    </xf>
    <xf numFmtId="0" fontId="1" fillId="7" borderId="27" xfId="0" applyFont="1" applyFill="1" applyBorder="1" applyAlignment="1">
      <alignment horizontal="center"/>
    </xf>
    <xf numFmtId="0" fontId="1" fillId="7" borderId="27" xfId="0" applyFont="1" applyFill="1" applyBorder="1" applyAlignment="1">
      <alignment wrapText="1"/>
    </xf>
    <xf numFmtId="0" fontId="1" fillId="7" borderId="3" xfId="0" applyFont="1" applyFill="1" applyBorder="1" applyAlignment="1" applyProtection="1">
      <alignment horizontal="center"/>
      <protection hidden="1"/>
    </xf>
    <xf numFmtId="0" fontId="1" fillId="7" borderId="9" xfId="0" applyFont="1" applyFill="1" applyBorder="1" applyAlignment="1" applyProtection="1">
      <alignment horizontal="center"/>
      <protection hidden="1"/>
    </xf>
    <xf numFmtId="9" fontId="0" fillId="15" borderId="9" xfId="0" applyNumberFormat="1" applyFill="1" applyBorder="1" applyAlignment="1">
      <alignment horizontal="center" vertical="center"/>
    </xf>
    <xf numFmtId="1" fontId="0" fillId="15" borderId="9" xfId="0" applyNumberFormat="1" applyFill="1" applyBorder="1" applyAlignment="1">
      <alignment horizontal="center" vertical="center" wrapText="1"/>
    </xf>
    <xf numFmtId="9" fontId="0" fillId="13" borderId="9" xfId="0" applyNumberFormat="1" applyFill="1" applyBorder="1" applyAlignment="1">
      <alignment horizontal="center" vertical="center"/>
    </xf>
    <xf numFmtId="1" fontId="0" fillId="13" borderId="9" xfId="0" applyNumberFormat="1" applyFill="1" applyBorder="1" applyAlignment="1">
      <alignment horizontal="center" vertical="center" wrapText="1"/>
    </xf>
    <xf numFmtId="0" fontId="0" fillId="15" borderId="9" xfId="0" applyFill="1" applyBorder="1" applyAlignment="1">
      <alignment horizontal="center" vertical="center" wrapText="1"/>
    </xf>
    <xf numFmtId="0" fontId="0" fillId="13" borderId="9" xfId="0" applyFill="1" applyBorder="1" applyAlignment="1">
      <alignment horizontal="center" vertical="center" wrapText="1"/>
    </xf>
    <xf numFmtId="0" fontId="0" fillId="4" borderId="7" xfId="0" applyFill="1" applyBorder="1" applyAlignment="1">
      <alignment vertical="center"/>
    </xf>
    <xf numFmtId="1" fontId="0" fillId="4" borderId="5" xfId="0" applyNumberFormat="1" applyFill="1" applyBorder="1" applyAlignment="1">
      <alignment horizontal="left" vertical="center"/>
    </xf>
    <xf numFmtId="9" fontId="0" fillId="15" borderId="5" xfId="0" applyNumberFormat="1" applyFill="1" applyBorder="1" applyAlignment="1">
      <alignment horizontal="center" vertical="center"/>
    </xf>
    <xf numFmtId="0" fontId="0" fillId="15" borderId="5" xfId="0" applyFill="1" applyBorder="1" applyAlignment="1">
      <alignment horizontal="center" vertical="center" wrapText="1"/>
    </xf>
    <xf numFmtId="9" fontId="0" fillId="13" borderId="5" xfId="0" applyNumberFormat="1" applyFill="1" applyBorder="1" applyAlignment="1">
      <alignment horizontal="center" vertical="center"/>
    </xf>
    <xf numFmtId="0" fontId="0" fillId="13" borderId="5" xfId="0" applyFill="1" applyBorder="1" applyAlignment="1">
      <alignment horizontal="center" vertical="center" wrapText="1"/>
    </xf>
    <xf numFmtId="0" fontId="0" fillId="0" borderId="0" xfId="0" applyAlignment="1">
      <alignment vertical="center"/>
    </xf>
    <xf numFmtId="0" fontId="0" fillId="0" borderId="12" xfId="0" applyBorder="1" applyAlignment="1">
      <alignment horizontal="center" wrapText="1"/>
    </xf>
    <xf numFmtId="0" fontId="0" fillId="0" borderId="13" xfId="0" applyBorder="1" applyAlignment="1">
      <alignment horizontal="center" wrapText="1"/>
    </xf>
    <xf numFmtId="1" fontId="0" fillId="0" borderId="12" xfId="0" applyNumberFormat="1" applyBorder="1" applyAlignment="1">
      <alignment horizontal="center"/>
    </xf>
    <xf numFmtId="1" fontId="0" fillId="0" borderId="21" xfId="0" applyNumberFormat="1" applyBorder="1" applyAlignment="1">
      <alignment horizontal="center"/>
    </xf>
    <xf numFmtId="1" fontId="0" fillId="0" borderId="13" xfId="0" applyNumberFormat="1" applyBorder="1" applyAlignment="1">
      <alignment horizontal="center"/>
    </xf>
    <xf numFmtId="1" fontId="0" fillId="0" borderId="14" xfId="0" applyNumberFormat="1" applyBorder="1" applyAlignment="1">
      <alignment horizontal="center"/>
    </xf>
    <xf numFmtId="1" fontId="0" fillId="0" borderId="14" xfId="0" applyNumberFormat="1" applyBorder="1"/>
    <xf numFmtId="0" fontId="25" fillId="4" borderId="8" xfId="0" applyFont="1" applyFill="1" applyBorder="1" applyAlignment="1">
      <alignment horizontal="center" vertical="top" wrapText="1"/>
    </xf>
    <xf numFmtId="0" fontId="0" fillId="4" borderId="9" xfId="0" applyFill="1" applyBorder="1" applyAlignment="1">
      <alignment horizontal="center" wrapText="1"/>
    </xf>
    <xf numFmtId="1" fontId="0" fillId="4" borderId="8" xfId="0" applyNumberFormat="1" applyFill="1" applyBorder="1" applyAlignment="1">
      <alignment horizontal="center"/>
    </xf>
    <xf numFmtId="1" fontId="0" fillId="4" borderId="10" xfId="0" applyNumberFormat="1" applyFill="1" applyBorder="1"/>
    <xf numFmtId="0" fontId="25" fillId="2" borderId="8" xfId="0" applyFont="1" applyFill="1" applyBorder="1" applyAlignment="1">
      <alignment horizontal="center" vertical="top" wrapText="1"/>
    </xf>
    <xf numFmtId="1" fontId="0" fillId="0" borderId="9" xfId="0" applyNumberFormat="1" applyBorder="1" applyAlignment="1">
      <alignment horizontal="center"/>
    </xf>
    <xf numFmtId="1" fontId="0" fillId="0" borderId="8" xfId="0" applyNumberFormat="1" applyBorder="1" applyAlignment="1">
      <alignment horizontal="center"/>
    </xf>
    <xf numFmtId="1" fontId="0" fillId="0" borderId="16" xfId="0" applyNumberFormat="1" applyBorder="1" applyAlignment="1">
      <alignment horizontal="center"/>
    </xf>
    <xf numFmtId="1" fontId="0" fillId="0" borderId="10" xfId="0" applyNumberFormat="1" applyBorder="1" applyAlignment="1">
      <alignment horizontal="center"/>
    </xf>
    <xf numFmtId="1" fontId="0" fillId="0" borderId="10" xfId="0" applyNumberFormat="1" applyBorder="1"/>
    <xf numFmtId="0" fontId="25" fillId="0" borderId="7" xfId="0" applyFont="1" applyBorder="1" applyAlignment="1">
      <alignment horizontal="center" vertical="top" wrapText="1"/>
    </xf>
    <xf numFmtId="0" fontId="0" fillId="4" borderId="5" xfId="0" applyFill="1" applyBorder="1" applyAlignment="1">
      <alignment horizontal="center" wrapText="1"/>
    </xf>
    <xf numFmtId="1" fontId="0" fillId="4" borderId="7" xfId="0" applyNumberFormat="1" applyFill="1" applyBorder="1" applyAlignment="1">
      <alignment horizontal="center"/>
    </xf>
    <xf numFmtId="1" fontId="0" fillId="4" borderId="6" xfId="0" applyNumberFormat="1" applyFill="1" applyBorder="1"/>
    <xf numFmtId="0" fontId="5" fillId="0" borderId="54" xfId="0" applyFont="1" applyBorder="1" applyAlignment="1">
      <alignment vertical="center"/>
    </xf>
    <xf numFmtId="10" fontId="0" fillId="0" borderId="9" xfId="0" applyNumberFormat="1" applyBorder="1" applyAlignment="1" applyProtection="1">
      <alignment horizontal="center" vertical="center"/>
      <protection hidden="1"/>
    </xf>
    <xf numFmtId="2" fontId="0" fillId="0" borderId="9" xfId="0" applyNumberFormat="1" applyBorder="1" applyAlignment="1" applyProtection="1">
      <alignment horizontal="center" vertical="center"/>
      <protection hidden="1"/>
    </xf>
    <xf numFmtId="10" fontId="0" fillId="0" borderId="5" xfId="0" applyNumberFormat="1" applyBorder="1" applyAlignment="1" applyProtection="1">
      <alignment horizontal="center" vertical="center"/>
      <protection hidden="1"/>
    </xf>
    <xf numFmtId="2" fontId="0" fillId="0" borderId="5" xfId="0" applyNumberFormat="1" applyBorder="1" applyAlignment="1" applyProtection="1">
      <alignment horizontal="center" vertical="center"/>
      <protection hidden="1"/>
    </xf>
    <xf numFmtId="2" fontId="0" fillId="0" borderId="0" xfId="0" applyNumberFormat="1" applyAlignment="1" applyProtection="1">
      <alignment horizontal="center" vertical="center"/>
      <protection hidden="1"/>
    </xf>
    <xf numFmtId="10" fontId="0" fillId="0" borderId="3" xfId="0" applyNumberFormat="1" applyBorder="1" applyAlignment="1" applyProtection="1">
      <alignment horizontal="center" vertical="center"/>
      <protection hidden="1"/>
    </xf>
    <xf numFmtId="2" fontId="0" fillId="0" borderId="3" xfId="0" applyNumberFormat="1" applyBorder="1" applyAlignment="1" applyProtection="1">
      <alignment horizontal="center" vertical="center"/>
      <protection hidden="1"/>
    </xf>
    <xf numFmtId="0" fontId="10" fillId="3" borderId="23" xfId="0" applyFont="1" applyFill="1" applyBorder="1" applyAlignment="1">
      <alignment horizontal="center" vertical="center" wrapText="1"/>
    </xf>
    <xf numFmtId="0" fontId="17" fillId="14" borderId="39" xfId="0" applyFont="1" applyFill="1" applyBorder="1" applyAlignment="1">
      <alignment horizontal="center" vertical="center"/>
    </xf>
    <xf numFmtId="0" fontId="17" fillId="14" borderId="36" xfId="0" applyFont="1"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43" xfId="0" applyFont="1" applyBorder="1" applyAlignment="1">
      <alignment horizontal="center"/>
    </xf>
    <xf numFmtId="0" fontId="1" fillId="0" borderId="19" xfId="0" applyFont="1" applyBorder="1" applyAlignment="1">
      <alignment horizontal="center"/>
    </xf>
    <xf numFmtId="0" fontId="1" fillId="0" borderId="0" xfId="0" applyFont="1" applyAlignment="1">
      <alignment horizontal="center"/>
    </xf>
    <xf numFmtId="0" fontId="1" fillId="0" borderId="31" xfId="0" applyFont="1" applyBorder="1" applyAlignment="1">
      <alignment horizontal="center"/>
    </xf>
    <xf numFmtId="0" fontId="6" fillId="8" borderId="3" xfId="0" applyFont="1" applyFill="1" applyBorder="1" applyAlignment="1">
      <alignment horizontal="center" vertical="center"/>
    </xf>
    <xf numFmtId="0" fontId="7" fillId="0" borderId="8"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9"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0"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48" xfId="0" applyFont="1" applyBorder="1" applyAlignment="1">
      <alignment horizontal="center" vertical="center" wrapText="1"/>
    </xf>
    <xf numFmtId="0" fontId="26" fillId="8" borderId="9" xfId="0" applyFont="1" applyFill="1" applyBorder="1" applyAlignment="1">
      <alignment horizontal="center" vertical="center" wrapText="1"/>
    </xf>
    <xf numFmtId="0" fontId="2" fillId="8" borderId="8" xfId="0" applyFont="1" applyFill="1" applyBorder="1" applyAlignment="1">
      <alignment horizontal="right"/>
    </xf>
    <xf numFmtId="0" fontId="2" fillId="8" borderId="11" xfId="0" applyFont="1" applyFill="1" applyBorder="1" applyAlignment="1">
      <alignment horizontal="right"/>
    </xf>
    <xf numFmtId="0" fontId="2" fillId="8" borderId="8" xfId="0" applyFont="1" applyFill="1" applyBorder="1" applyAlignment="1">
      <alignment horizontal="right" wrapText="1"/>
    </xf>
    <xf numFmtId="0" fontId="2" fillId="8" borderId="11" xfId="0" applyFont="1" applyFill="1" applyBorder="1" applyAlignment="1">
      <alignment horizontal="right" wrapText="1"/>
    </xf>
    <xf numFmtId="0" fontId="1" fillId="8" borderId="41" xfId="0" applyFont="1" applyFill="1" applyBorder="1" applyAlignment="1">
      <alignment horizontal="right"/>
    </xf>
    <xf numFmtId="0" fontId="1" fillId="8" borderId="18" xfId="0" applyFont="1" applyFill="1" applyBorder="1" applyAlignment="1">
      <alignment horizontal="right"/>
    </xf>
    <xf numFmtId="0" fontId="2" fillId="8" borderId="40" xfId="0" applyFont="1" applyFill="1" applyBorder="1" applyAlignment="1">
      <alignment horizontal="right" wrapText="1"/>
    </xf>
    <xf numFmtId="0" fontId="2" fillId="8" borderId="20" xfId="0" applyFont="1" applyFill="1" applyBorder="1" applyAlignment="1">
      <alignment horizontal="right" wrapText="1"/>
    </xf>
    <xf numFmtId="0" fontId="15" fillId="6" borderId="26" xfId="0" applyFont="1" applyFill="1" applyBorder="1" applyAlignment="1">
      <alignment horizontal="center" vertical="center" wrapText="1"/>
    </xf>
    <xf numFmtId="0" fontId="15" fillId="6" borderId="44" xfId="0" applyFont="1" applyFill="1" applyBorder="1" applyAlignment="1">
      <alignment horizontal="center" vertical="center" wrapText="1"/>
    </xf>
    <xf numFmtId="0" fontId="7" fillId="0" borderId="47" xfId="0" applyFont="1" applyBorder="1" applyAlignment="1">
      <alignment horizontal="center" vertical="center" wrapText="1"/>
    </xf>
    <xf numFmtId="0" fontId="13" fillId="12" borderId="30" xfId="0" applyFont="1" applyFill="1" applyBorder="1" applyAlignment="1">
      <alignment horizontal="center" vertical="center" wrapText="1"/>
    </xf>
    <xf numFmtId="0" fontId="13" fillId="12" borderId="31" xfId="0" applyFont="1" applyFill="1" applyBorder="1" applyAlignment="1">
      <alignment horizontal="center" vertical="center" wrapText="1"/>
    </xf>
    <xf numFmtId="0" fontId="10" fillId="8" borderId="41" xfId="0" applyFont="1" applyFill="1" applyBorder="1" applyAlignment="1">
      <alignment horizontal="center" vertical="center" wrapText="1"/>
    </xf>
    <xf numFmtId="0" fontId="10" fillId="8" borderId="18" xfId="0" applyFont="1" applyFill="1" applyBorder="1" applyAlignment="1">
      <alignment horizontal="center" vertical="center"/>
    </xf>
    <xf numFmtId="0" fontId="10" fillId="8" borderId="40" xfId="0" applyFont="1" applyFill="1" applyBorder="1" applyAlignment="1">
      <alignment horizontal="center" vertical="center"/>
    </xf>
    <xf numFmtId="0" fontId="10" fillId="8" borderId="20" xfId="0" applyFont="1" applyFill="1" applyBorder="1" applyAlignment="1">
      <alignment horizontal="center" vertical="center"/>
    </xf>
    <xf numFmtId="0" fontId="1" fillId="8" borderId="46" xfId="0" applyFont="1" applyFill="1" applyBorder="1" applyAlignment="1">
      <alignment horizontal="center" vertical="center" wrapText="1"/>
    </xf>
    <xf numFmtId="0" fontId="1" fillId="8" borderId="0" xfId="0" applyFont="1" applyFill="1" applyAlignment="1">
      <alignment horizontal="center" vertical="center" wrapText="1"/>
    </xf>
    <xf numFmtId="0" fontId="1" fillId="8" borderId="40" xfId="0" applyFont="1" applyFill="1" applyBorder="1" applyAlignment="1">
      <alignment horizontal="center" vertical="center" wrapText="1"/>
    </xf>
    <xf numFmtId="0" fontId="1" fillId="8" borderId="20" xfId="0" applyFont="1" applyFill="1" applyBorder="1" applyAlignment="1">
      <alignment horizontal="center" vertical="center" wrapText="1"/>
    </xf>
    <xf numFmtId="0" fontId="2" fillId="8" borderId="21" xfId="0" applyFont="1" applyFill="1" applyBorder="1" applyAlignment="1">
      <alignment horizontal="right" wrapText="1"/>
    </xf>
    <xf numFmtId="0" fontId="1" fillId="8" borderId="41" xfId="0" applyFont="1" applyFill="1" applyBorder="1" applyAlignment="1">
      <alignment horizontal="center" vertical="center" wrapText="1"/>
    </xf>
    <xf numFmtId="0" fontId="1" fillId="8" borderId="18" xfId="0" applyFont="1" applyFill="1" applyBorder="1" applyAlignment="1">
      <alignment horizontal="center" vertical="center"/>
    </xf>
    <xf numFmtId="0" fontId="1" fillId="8" borderId="40" xfId="0" applyFont="1" applyFill="1" applyBorder="1" applyAlignment="1">
      <alignment horizontal="center" vertical="center"/>
    </xf>
    <xf numFmtId="0" fontId="1" fillId="8" borderId="20" xfId="0" applyFont="1" applyFill="1" applyBorder="1" applyAlignment="1">
      <alignment horizontal="center" vertical="center"/>
    </xf>
    <xf numFmtId="0" fontId="15" fillId="6" borderId="16"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7" fillId="0" borderId="55" xfId="0" applyFont="1" applyBorder="1" applyAlignment="1">
      <alignment horizontal="center" vertical="center" wrapText="1"/>
    </xf>
    <xf numFmtId="0" fontId="14" fillId="6" borderId="36" xfId="0" applyFont="1" applyFill="1" applyBorder="1" applyAlignment="1">
      <alignment horizontal="center" wrapText="1"/>
    </xf>
    <xf numFmtId="0" fontId="14" fillId="6" borderId="37" xfId="0" applyFont="1" applyFill="1" applyBorder="1" applyAlignment="1">
      <alignment horizontal="center" wrapText="1"/>
    </xf>
    <xf numFmtId="0" fontId="6" fillId="13" borderId="11" xfId="0" applyFont="1" applyFill="1" applyBorder="1" applyAlignment="1">
      <alignment horizontal="center" vertical="center" wrapText="1"/>
    </xf>
    <xf numFmtId="0" fontId="6" fillId="13" borderId="26" xfId="0" applyFont="1" applyFill="1" applyBorder="1" applyAlignment="1">
      <alignment horizontal="center" vertical="center" wrapText="1"/>
    </xf>
    <xf numFmtId="0" fontId="6" fillId="13" borderId="16" xfId="0" applyFont="1" applyFill="1" applyBorder="1" applyAlignment="1">
      <alignment horizontal="center" vertical="center" wrapText="1"/>
    </xf>
    <xf numFmtId="0" fontId="2" fillId="13" borderId="9"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3" fillId="8" borderId="3" xfId="0" applyFont="1" applyFill="1" applyBorder="1" applyAlignment="1">
      <alignment horizontal="left" vertical="center" wrapText="1"/>
    </xf>
    <xf numFmtId="0" fontId="3" fillId="8" borderId="9" xfId="0" applyFont="1" applyFill="1" applyBorder="1" applyAlignment="1">
      <alignment horizontal="left" vertical="center" wrapText="1"/>
    </xf>
    <xf numFmtId="0" fontId="2" fillId="15" borderId="9" xfId="0" applyFont="1" applyFill="1" applyBorder="1" applyAlignment="1">
      <alignment horizontal="center" vertical="center" wrapText="1"/>
    </xf>
    <xf numFmtId="0" fontId="19" fillId="6" borderId="3" xfId="0" applyFont="1" applyFill="1" applyBorder="1" applyAlignment="1">
      <alignment horizontal="right" vertical="center" wrapText="1"/>
    </xf>
    <xf numFmtId="0" fontId="19" fillId="6" borderId="4" xfId="0" applyFont="1" applyFill="1" applyBorder="1" applyAlignment="1">
      <alignment horizontal="right" vertical="center" wrapText="1"/>
    </xf>
    <xf numFmtId="0" fontId="6" fillId="15" borderId="9" xfId="0" applyFont="1" applyFill="1" applyBorder="1" applyAlignment="1">
      <alignment horizontal="center" vertical="center" wrapText="1"/>
    </xf>
    <xf numFmtId="0" fontId="6" fillId="15" borderId="9" xfId="0" applyFont="1" applyFill="1" applyBorder="1" applyAlignment="1">
      <alignment horizontal="center" vertical="center"/>
    </xf>
    <xf numFmtId="0" fontId="6" fillId="13" borderId="9" xfId="0" applyFont="1" applyFill="1" applyBorder="1" applyAlignment="1">
      <alignment horizontal="center" vertical="center" wrapText="1"/>
    </xf>
    <xf numFmtId="0" fontId="10" fillId="10" borderId="3" xfId="0" applyFont="1" applyFill="1" applyBorder="1" applyAlignment="1" applyProtection="1">
      <alignment horizontal="center" wrapText="1"/>
      <protection hidden="1"/>
    </xf>
    <xf numFmtId="0" fontId="10" fillId="7" borderId="3" xfId="0" applyFont="1" applyFill="1" applyBorder="1" applyAlignment="1" applyProtection="1">
      <alignment horizontal="center" wrapText="1"/>
      <protection hidden="1"/>
    </xf>
    <xf numFmtId="0" fontId="1" fillId="7" borderId="3" xfId="0" applyFont="1" applyFill="1" applyBorder="1" applyAlignment="1" applyProtection="1">
      <alignment horizontal="center"/>
      <protection hidden="1"/>
    </xf>
    <xf numFmtId="0" fontId="1" fillId="7" borderId="9" xfId="0" applyFont="1" applyFill="1" applyBorder="1" applyAlignment="1" applyProtection="1">
      <alignment horizontal="center"/>
      <protection hidden="1"/>
    </xf>
    <xf numFmtId="0" fontId="12" fillId="7" borderId="3" xfId="0" applyFont="1" applyFill="1" applyBorder="1" applyAlignment="1" applyProtection="1">
      <alignment horizontal="center" wrapText="1"/>
      <protection hidden="1"/>
    </xf>
    <xf numFmtId="0" fontId="12" fillId="7" borderId="9" xfId="0" applyFont="1" applyFill="1" applyBorder="1" applyAlignment="1" applyProtection="1">
      <alignment horizontal="center" wrapText="1"/>
      <protection hidden="1"/>
    </xf>
    <xf numFmtId="0" fontId="12" fillId="7" borderId="3" xfId="0" applyFont="1" applyFill="1" applyBorder="1" applyAlignment="1" applyProtection="1">
      <alignment horizontal="center" vertical="center" wrapText="1"/>
      <protection hidden="1"/>
    </xf>
    <xf numFmtId="0" fontId="12" fillId="7" borderId="9" xfId="0" applyFont="1" applyFill="1" applyBorder="1" applyAlignment="1" applyProtection="1">
      <alignment horizontal="center" vertical="center" wrapText="1"/>
      <protection hidden="1"/>
    </xf>
    <xf numFmtId="0" fontId="1" fillId="0" borderId="0" xfId="0" applyFont="1" applyAlignment="1">
      <alignment horizontal="right" indent="3"/>
    </xf>
    <xf numFmtId="0" fontId="1" fillId="0" borderId="15" xfId="0" applyFont="1" applyBorder="1" applyAlignment="1">
      <alignment horizontal="right" indent="3"/>
    </xf>
    <xf numFmtId="0" fontId="0" fillId="0" borderId="15" xfId="0" applyBorder="1" applyAlignment="1">
      <alignment horizontal="left"/>
    </xf>
    <xf numFmtId="0" fontId="9" fillId="5" borderId="0" xfId="0" applyFont="1" applyFill="1" applyAlignment="1">
      <alignment horizontal="left"/>
    </xf>
    <xf numFmtId="0" fontId="10" fillId="7" borderId="9" xfId="0" applyFont="1" applyFill="1" applyBorder="1" applyAlignment="1" applyProtection="1">
      <alignment horizontal="center" wrapText="1"/>
      <protection hidden="1"/>
    </xf>
    <xf numFmtId="0" fontId="1" fillId="7" borderId="56" xfId="0" applyFont="1" applyFill="1" applyBorder="1" applyAlignment="1">
      <alignment horizontal="center"/>
    </xf>
    <xf numFmtId="0" fontId="1" fillId="7" borderId="57" xfId="0" applyFont="1" applyFill="1" applyBorder="1" applyAlignment="1">
      <alignment horizontal="center"/>
    </xf>
    <xf numFmtId="0" fontId="1" fillId="7" borderId="2" xfId="0" applyFont="1" applyFill="1" applyBorder="1" applyAlignment="1" applyProtection="1">
      <alignment horizontal="center"/>
      <protection hidden="1"/>
    </xf>
    <xf numFmtId="0" fontId="1" fillId="7" borderId="8" xfId="0" applyFont="1" applyFill="1" applyBorder="1" applyAlignment="1" applyProtection="1">
      <alignment horizontal="center"/>
      <protection hidden="1"/>
    </xf>
    <xf numFmtId="0" fontId="1" fillId="7" borderId="3" xfId="0" applyFont="1" applyFill="1" applyBorder="1" applyAlignment="1">
      <alignment horizontal="center"/>
    </xf>
    <xf numFmtId="0" fontId="1" fillId="7" borderId="35" xfId="0" applyFont="1" applyFill="1" applyBorder="1" applyAlignment="1">
      <alignment horizontal="center"/>
    </xf>
    <xf numFmtId="0" fontId="10" fillId="7" borderId="11" xfId="0" applyFont="1" applyFill="1" applyBorder="1" applyAlignment="1" applyProtection="1">
      <alignment horizontal="center" wrapText="1"/>
      <protection hidden="1"/>
    </xf>
    <xf numFmtId="0" fontId="10" fillId="7" borderId="26" xfId="0" applyFont="1" applyFill="1" applyBorder="1" applyAlignment="1" applyProtection="1">
      <alignment horizontal="center" wrapText="1"/>
      <protection hidden="1"/>
    </xf>
    <xf numFmtId="0" fontId="10" fillId="7" borderId="16" xfId="0" applyFont="1" applyFill="1" applyBorder="1" applyAlignment="1" applyProtection="1">
      <alignment horizontal="center" wrapText="1"/>
      <protection hidden="1"/>
    </xf>
    <xf numFmtId="0" fontId="10" fillId="7" borderId="10" xfId="0" applyFont="1" applyFill="1" applyBorder="1" applyAlignment="1" applyProtection="1">
      <alignment horizontal="center" wrapText="1"/>
      <protection hidden="1"/>
    </xf>
    <xf numFmtId="0" fontId="27" fillId="7" borderId="3" xfId="0" applyFont="1" applyFill="1" applyBorder="1" applyAlignment="1">
      <alignment horizontal="center" vertical="center"/>
    </xf>
    <xf numFmtId="0" fontId="27" fillId="7" borderId="4" xfId="0" applyFont="1" applyFill="1" applyBorder="1" applyAlignment="1">
      <alignment horizontal="center" vertical="center"/>
    </xf>
  </cellXfs>
  <cellStyles count="2">
    <cellStyle name="Normal" xfId="0" builtinId="0"/>
    <cellStyle name="Percent" xfId="1" builtinId="5"/>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24994659260841701"/>
      </font>
    </dxf>
    <dxf>
      <fill>
        <patternFill>
          <bgColor theme="5" tint="0.59996337778862885"/>
        </patternFill>
      </fill>
    </dxf>
    <dxf>
      <font>
        <color rgb="FF9C0006"/>
      </font>
      <fill>
        <patternFill>
          <bgColor rgb="FFFFC7CE"/>
        </patternFill>
      </fill>
    </dxf>
    <dxf>
      <font>
        <color rgb="FF006100"/>
      </font>
      <fill>
        <patternFill>
          <bgColor rgb="FFC6EFCE"/>
        </patternFill>
      </fill>
    </dxf>
    <dxf>
      <fill>
        <patternFill>
          <bgColor theme="1" tint="0.14996795556505021"/>
        </patternFill>
      </fill>
    </dxf>
    <dxf>
      <font>
        <color rgb="FF9C0006"/>
      </font>
      <fill>
        <patternFill>
          <bgColor rgb="FFFFC7CE"/>
        </patternFill>
      </fill>
    </dxf>
    <dxf>
      <font>
        <b/>
        <i val="0"/>
        <color rgb="FFFF0000"/>
      </font>
    </dxf>
    <dxf>
      <font>
        <color rgb="FF9C0006"/>
      </font>
      <fill>
        <patternFill>
          <bgColor rgb="FFFFC7CE"/>
        </patternFill>
      </fill>
    </dxf>
    <dxf>
      <fill>
        <patternFill>
          <bgColor rgb="FFF69582"/>
        </patternFill>
      </fill>
    </dxf>
    <dxf>
      <font>
        <color theme="1" tint="0.24994659260841701"/>
      </font>
      <fill>
        <patternFill>
          <bgColor theme="1" tint="0.24994659260841701"/>
        </patternFill>
      </fill>
    </dxf>
    <dxf>
      <font>
        <color theme="1" tint="0.24994659260841701"/>
      </font>
      <fill>
        <patternFill>
          <bgColor theme="1" tint="0.24994659260841701"/>
        </patternFill>
      </fill>
    </dxf>
    <dxf>
      <font>
        <color theme="1"/>
      </font>
      <fill>
        <patternFill>
          <bgColor theme="1"/>
        </patternFill>
      </fill>
    </dxf>
    <dxf>
      <font>
        <b val="0"/>
        <i val="0"/>
        <color theme="0" tint="-0.499984740745262"/>
      </font>
    </dxf>
    <dxf>
      <font>
        <color theme="0" tint="-0.24994659260841701"/>
      </font>
    </dxf>
    <dxf>
      <font>
        <color theme="0" tint="-0.24994659260841701"/>
      </font>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14996795556505021"/>
        </patternFill>
      </fill>
    </dxf>
    <dxf>
      <font>
        <color rgb="FF9C0006"/>
      </font>
      <fill>
        <patternFill>
          <bgColor rgb="FFFFC7CE"/>
        </patternFill>
      </fill>
    </dxf>
    <dxf>
      <font>
        <b/>
        <i val="0"/>
        <color rgb="FFFF0000"/>
      </font>
    </dxf>
    <dxf>
      <font>
        <color rgb="FF9C0006"/>
      </font>
      <fill>
        <patternFill>
          <bgColor rgb="FFFFC7CE"/>
        </patternFill>
      </fill>
    </dxf>
    <dxf>
      <fill>
        <patternFill>
          <bgColor rgb="FFF69582"/>
        </patternFill>
      </fill>
    </dxf>
    <dxf>
      <font>
        <color theme="1" tint="0.24994659260841701"/>
      </font>
      <fill>
        <patternFill>
          <bgColor theme="1" tint="0.24994659260841701"/>
        </patternFill>
      </fill>
    </dxf>
    <dxf>
      <font>
        <color theme="1" tint="0.24994659260841701"/>
      </font>
      <fill>
        <patternFill>
          <bgColor theme="1" tint="0.24994659260841701"/>
        </patternFill>
      </fill>
    </dxf>
    <dxf>
      <font>
        <color theme="1"/>
      </font>
      <fill>
        <patternFill>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Summary'!$D$18</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Summary'!$D$19:$D$24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3D4-4AD4-815C-73795215F694}"/>
            </c:ext>
          </c:extLst>
        </c:ser>
        <c:ser>
          <c:idx val="1"/>
          <c:order val="1"/>
          <c:tx>
            <c:strRef>
              <c:f>'Class Summary'!$E$18</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Summary'!$E$19:$E$24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893-4213-8AC2-4A322D298431}"/>
            </c:ext>
          </c:extLst>
        </c:ser>
        <c:ser>
          <c:idx val="2"/>
          <c:order val="2"/>
          <c:tx>
            <c:strRef>
              <c:f>'Class Summary'!$F$18</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Summary'!$F$19:$F$24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893-4213-8AC2-4A322D298431}"/>
            </c:ext>
          </c:extLst>
        </c:ser>
        <c:ser>
          <c:idx val="3"/>
          <c:order val="3"/>
          <c:tx>
            <c:strRef>
              <c:f>'Class Summary'!$G$18</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Summary'!$G$19:$G$24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893-4213-8AC2-4A322D298431}"/>
            </c:ext>
          </c:extLst>
        </c:ser>
        <c:dLbls>
          <c:dLblPos val="outEnd"/>
          <c:showLegendKey val="0"/>
          <c:showVal val="1"/>
          <c:showCatName val="0"/>
          <c:showSerName val="0"/>
          <c:showPercent val="0"/>
          <c:showBubbleSize val="0"/>
        </c:dLbls>
        <c:gapWidth val="219"/>
        <c:overlap val="-27"/>
        <c:axId val="194928544"/>
        <c:axId val="194934368"/>
        <c:extLst/>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87577373912164"/>
          <c:y val="0.27247273154613705"/>
          <c:w val="0.58518877316998708"/>
          <c:h val="0.52127123878447335"/>
        </c:manualLayout>
      </c:layout>
      <c:pieChart>
        <c:varyColors val="1"/>
        <c:ser>
          <c:idx val="0"/>
          <c:order val="0"/>
          <c:tx>
            <c:strRef>
              <c:f>'Class Summary'!$G$6</c:f>
              <c:strCache>
                <c:ptCount val="1"/>
                <c:pt idx="0">
                  <c:v>Number of Learners Assessed</c:v>
                </c:pt>
              </c:strCache>
            </c:strRef>
          </c:tx>
          <c:spPr>
            <a:solidFill>
              <a:srgbClr val="FF0000"/>
            </a:solidFill>
          </c:spPr>
          <c:explosion val="7"/>
          <c:dPt>
            <c:idx val="0"/>
            <c:bubble3D val="0"/>
            <c:spPr>
              <a:solidFill>
                <a:srgbClr val="0070C0"/>
              </a:solidFill>
              <a:ln w="19050">
                <a:solidFill>
                  <a:schemeClr val="lt1"/>
                </a:solidFill>
              </a:ln>
              <a:effectLst/>
            </c:spPr>
            <c:extLst>
              <c:ext xmlns:c16="http://schemas.microsoft.com/office/drawing/2014/chart" uri="{C3380CC4-5D6E-409C-BE32-E72D297353CC}">
                <c16:uniqueId val="{00000001-D83A-4FFF-A0F9-FBE089982E18}"/>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D83A-4FFF-A0F9-FBE089982E1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0</c:v>
                </c:pt>
                <c:pt idx="1">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D83A-4FFF-A0F9-FBE089982E1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0494602426568612"/>
          <c:y val="0.80684492168603905"/>
          <c:w val="0.46427377056976349"/>
          <c:h val="8.371674970415332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Grade 2 Learners Assessed In</a:t>
            </a:r>
            <a:r>
              <a:rPr lang="en-US" baseline="0"/>
              <a:t> Mother Tongue and Filipino</a:t>
            </a:r>
          </a:p>
          <a:p>
            <a:pPr>
              <a:defRPr/>
            </a:pPr>
            <a:r>
              <a:rPr lang="en-US" baseline="0"/>
              <a:t>By Reading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Summary'!$K$18</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Summary'!$K$19:$K$24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EE2E-4A53-A42F-0B8EBCEEF6A2}"/>
            </c:ext>
          </c:extLst>
        </c:ser>
        <c:ser>
          <c:idx val="1"/>
          <c:order val="1"/>
          <c:tx>
            <c:strRef>
              <c:f>'Class Summary'!$L$18</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Summary'!$L$19:$L$24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1434-4FED-B4F3-4CC6ED716A11}"/>
            </c:ext>
          </c:extLst>
        </c:ser>
        <c:ser>
          <c:idx val="2"/>
          <c:order val="2"/>
          <c:tx>
            <c:strRef>
              <c:f>'Class Summary'!$M$18</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Summary'!$M$19:$M$24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1434-4FED-B4F3-4CC6ED716A11}"/>
            </c:ext>
          </c:extLst>
        </c:ser>
        <c:ser>
          <c:idx val="3"/>
          <c:order val="3"/>
          <c:tx>
            <c:strRef>
              <c:f>'Class Summary'!$N$18</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Summary'!$N$19:$N$24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1434-4FED-B4F3-4CC6ED716A11}"/>
            </c:ext>
          </c:extLst>
        </c:ser>
        <c:ser>
          <c:idx val="4"/>
          <c:order val="4"/>
          <c:tx>
            <c:strRef>
              <c:f>'Class Summary'!$O$18</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Summary'!$O$19:$O$24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1434-4FED-B4F3-4CC6ED716A11}"/>
            </c:ext>
          </c:extLst>
        </c:ser>
        <c:dLbls>
          <c:dLblPos val="outEnd"/>
          <c:showLegendKey val="0"/>
          <c:showVal val="1"/>
          <c:showCatName val="0"/>
          <c:showSerName val="0"/>
          <c:showPercent val="0"/>
          <c:showBubbleSize val="0"/>
        </c:dLbls>
        <c:gapWidth val="219"/>
        <c:overlap val="-27"/>
        <c:axId val="194928544"/>
        <c:axId val="194934368"/>
        <c:extLst/>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Reading Fluency and Comprehension Average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Summary'!$H$18</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Summary'!$H$19:$H$24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F67-476E-B255-200B3CCB4F10}"/>
            </c:ext>
          </c:extLst>
        </c:ser>
        <c:ser>
          <c:idx val="1"/>
          <c:order val="1"/>
          <c:tx>
            <c:strRef>
              <c:f>'Class Summary'!$I$18</c:f>
              <c:strCache>
                <c:ptCount val="1"/>
                <c:pt idx="0">
                  <c:v>Reading Comprehension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Summary'!$I$19:$I$24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CF67-476E-B255-200B3CCB4F10}"/>
            </c:ext>
          </c:extLst>
        </c:ser>
        <c:dLbls>
          <c:dLblPos val="outEnd"/>
          <c:showLegendKey val="0"/>
          <c:showVal val="1"/>
          <c:showCatName val="0"/>
          <c:showSerName val="0"/>
          <c:showPercent val="0"/>
          <c:showBubbleSize val="0"/>
        </c:dLbls>
        <c:gapWidth val="219"/>
        <c:overlap val="-27"/>
        <c:axId val="194928544"/>
        <c:axId val="194934368"/>
        <c:extLst/>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Reading Fluency and Comprehension Average Words Per Minute</a:t>
            </a:r>
            <a:endParaRPr lang="en-US"/>
          </a:p>
        </c:rich>
      </c:tx>
      <c:layout>
        <c:manualLayout>
          <c:xMode val="edge"/>
          <c:yMode val="edge"/>
          <c:x val="0.14729887035536365"/>
          <c:y val="2.85612281328097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Summary'!$J$18</c:f>
              <c:strCache>
                <c:ptCount val="1"/>
                <c:pt idx="0">
                  <c:v>Words Per Minute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2-A69C-4949-A272-2101F0D99A0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0-A69C-4949-A272-2101F0D99A01}"/>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A69C-4949-A272-2101F0D99A0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1-A69C-4949-A272-2101F0D99A0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Tagalog</c:v>
                  </c:pt>
                  <c:pt idx="1">
                    <c:v>Tagalog</c:v>
                  </c:pt>
                  <c:pt idx="2">
                    <c:v>Tagalog</c:v>
                  </c:pt>
                  <c:pt idx="3">
                    <c:v>Filipino</c:v>
                  </c:pt>
                  <c:pt idx="4">
                    <c:v>Filipino</c:v>
                  </c:pt>
                  <c:pt idx="5">
                    <c:v>Filipino</c:v>
                  </c:pt>
                </c:lvl>
              </c:multiLvlStrCache>
            </c:multiLvlStrRef>
          </c:cat>
          <c:val>
            <c:numRef>
              <c:f>'Class Summary'!$J$19:$J$24</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B575-4EE6-BC0B-8957C72C47FC}"/>
            </c:ext>
          </c:extLst>
        </c:ser>
        <c:dLbls>
          <c:dLblPos val="outEnd"/>
          <c:showLegendKey val="0"/>
          <c:showVal val="1"/>
          <c:showCatName val="0"/>
          <c:showSerName val="0"/>
          <c:showPercent val="0"/>
          <c:showBubbleSize val="0"/>
        </c:dLbls>
        <c:gapWidth val="219"/>
        <c:overlap val="-27"/>
        <c:axId val="194928544"/>
        <c:axId val="194934368"/>
        <c:extLst/>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76199" y="20913090"/>
          <a:ext cx="8582025" cy="489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848360</xdr:colOff>
      <xdr:row>110</xdr:row>
      <xdr:rowOff>57150</xdr:rowOff>
    </xdr:from>
    <xdr:to>
      <xdr:col>21</xdr:col>
      <xdr:colOff>1504950</xdr:colOff>
      <xdr:row>113</xdr:row>
      <xdr:rowOff>137159</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6050260" y="21116925"/>
          <a:ext cx="2243455" cy="626744"/>
        </a:xfrm>
        <a:prstGeom prst="rect">
          <a:avLst/>
        </a:prstGeom>
        <a:noFill/>
        <a:ln>
          <a:noFill/>
        </a:ln>
      </xdr:spPr>
    </xdr:pic>
    <xdr:clientData/>
  </xdr:twoCellAnchor>
  <xdr:twoCellAnchor>
    <xdr:from>
      <xdr:col>18</xdr:col>
      <xdr:colOff>0</xdr:colOff>
      <xdr:row>3</xdr:row>
      <xdr:rowOff>53340</xdr:rowOff>
    </xdr:from>
    <xdr:to>
      <xdr:col>21</xdr:col>
      <xdr:colOff>1950720</xdr:colOff>
      <xdr:row>4</xdr:row>
      <xdr:rowOff>152400</xdr:rowOff>
    </xdr:to>
    <xdr:sp macro="" textlink="">
      <xdr:nvSpPr>
        <xdr:cNvPr id="17" name="TextBox 16">
          <a:extLst>
            <a:ext uri="{FF2B5EF4-FFF2-40B4-BE49-F238E27FC236}">
              <a16:creationId xmlns:a16="http://schemas.microsoft.com/office/drawing/2014/main" id="{CC695B5C-B19C-C6BF-546C-B8D771CB68E6}"/>
            </a:ext>
          </a:extLst>
        </xdr:cNvPr>
        <xdr:cNvSpPr txBox="1"/>
      </xdr:nvSpPr>
      <xdr:spPr>
        <a:xfrm>
          <a:off x="13319760" y="906780"/>
          <a:ext cx="595884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2  Mother Tongue Reading Assessment Scoresheet</a:t>
          </a:r>
        </a:p>
      </xdr:txBody>
    </xdr:sp>
    <xdr:clientData/>
  </xdr:twoCellAnchor>
  <xdr:twoCellAnchor>
    <xdr:from>
      <xdr:col>20</xdr:col>
      <xdr:colOff>533400</xdr:colOff>
      <xdr:row>0</xdr:row>
      <xdr:rowOff>95250</xdr:rowOff>
    </xdr:from>
    <xdr:to>
      <xdr:col>21</xdr:col>
      <xdr:colOff>2292484</xdr:colOff>
      <xdr:row>2</xdr:row>
      <xdr:rowOff>228048</xdr:rowOff>
    </xdr:to>
    <xdr:grpSp>
      <xdr:nvGrpSpPr>
        <xdr:cNvPr id="2" name="Group 1">
          <a:extLst>
            <a:ext uri="{FF2B5EF4-FFF2-40B4-BE49-F238E27FC236}">
              <a16:creationId xmlns:a16="http://schemas.microsoft.com/office/drawing/2014/main" id="{C7CD777B-9C13-4F36-B8C6-E0B25E29CB31}"/>
            </a:ext>
          </a:extLst>
        </xdr:cNvPr>
        <xdr:cNvGrpSpPr/>
      </xdr:nvGrpSpPr>
      <xdr:grpSpPr>
        <a:xfrm>
          <a:off x="15750540" y="95250"/>
          <a:ext cx="3359284" cy="643338"/>
          <a:chOff x="16253460" y="45720"/>
          <a:chExt cx="3198311" cy="645560"/>
        </a:xfrm>
      </xdr:grpSpPr>
      <xdr:pic>
        <xdr:nvPicPr>
          <xdr:cNvPr id="8" name="Picture 7">
            <a:extLst>
              <a:ext uri="{FF2B5EF4-FFF2-40B4-BE49-F238E27FC236}">
                <a16:creationId xmlns:a16="http://schemas.microsoft.com/office/drawing/2014/main" id="{E1A572F4-874A-6273-A5B4-68516DABB704}"/>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9" name="TextBox 8">
            <a:extLst>
              <a:ext uri="{FF2B5EF4-FFF2-40B4-BE49-F238E27FC236}">
                <a16:creationId xmlns:a16="http://schemas.microsoft.com/office/drawing/2014/main" id="{34126952-44C3-BA20-7B21-A54E4D3B776B}"/>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xdr:from>
      <xdr:col>3</xdr:col>
      <xdr:colOff>148591</xdr:colOff>
      <xdr:row>0</xdr:row>
      <xdr:rowOff>92232</xdr:rowOff>
    </xdr:from>
    <xdr:to>
      <xdr:col>12</xdr:col>
      <xdr:colOff>617220</xdr:colOff>
      <xdr:row>2</xdr:row>
      <xdr:rowOff>325755</xdr:rowOff>
    </xdr:to>
    <xdr:grpSp>
      <xdr:nvGrpSpPr>
        <xdr:cNvPr id="12" name="Group 11">
          <a:extLst>
            <a:ext uri="{FF2B5EF4-FFF2-40B4-BE49-F238E27FC236}">
              <a16:creationId xmlns:a16="http://schemas.microsoft.com/office/drawing/2014/main" id="{2942DD74-31DD-6EF9-65D4-181F7221E7F0}"/>
            </a:ext>
          </a:extLst>
        </xdr:cNvPr>
        <xdr:cNvGrpSpPr/>
      </xdr:nvGrpSpPr>
      <xdr:grpSpPr>
        <a:xfrm>
          <a:off x="3425191" y="92232"/>
          <a:ext cx="7326629" cy="744063"/>
          <a:chOff x="3408046" y="50322"/>
          <a:chExt cx="7315199" cy="755493"/>
        </a:xfrm>
      </xdr:grpSpPr>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4274756" y="117677"/>
            <a:ext cx="6448489" cy="688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pic>
        <xdr:nvPicPr>
          <xdr:cNvPr id="7" name="Picture 6">
            <a:extLst>
              <a:ext uri="{FF2B5EF4-FFF2-40B4-BE49-F238E27FC236}">
                <a16:creationId xmlns:a16="http://schemas.microsoft.com/office/drawing/2014/main" id="{FAF350F5-563A-AF1A-C766-A6C86183E0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8046" y="50322"/>
            <a:ext cx="859154" cy="746768"/>
          </a:xfrm>
          <a:prstGeom prst="rect">
            <a:avLst/>
          </a:prstGeom>
        </xdr:spPr>
      </xdr:pic>
    </xdr:grpSp>
    <xdr:clientData/>
  </xdr:twoCellAnchor>
  <xdr:twoCellAnchor editAs="oneCell">
    <xdr:from>
      <xdr:col>16</xdr:col>
      <xdr:colOff>22859</xdr:colOff>
      <xdr:row>5</xdr:row>
      <xdr:rowOff>19051</xdr:rowOff>
    </xdr:from>
    <xdr:to>
      <xdr:col>21</xdr:col>
      <xdr:colOff>2286000</xdr:colOff>
      <xdr:row>9</xdr:row>
      <xdr:rowOff>0</xdr:rowOff>
    </xdr:to>
    <xdr:pic>
      <xdr:nvPicPr>
        <xdr:cNvPr id="10" name="Picture 9">
          <a:extLst>
            <a:ext uri="{FF2B5EF4-FFF2-40B4-BE49-F238E27FC236}">
              <a16:creationId xmlns:a16="http://schemas.microsoft.com/office/drawing/2014/main" id="{DE487C47-570C-51A4-1E2D-0D2395380505}"/>
            </a:ext>
          </a:extLst>
        </xdr:cNvPr>
        <xdr:cNvPicPr>
          <a:picLocks noChangeAspect="1"/>
        </xdr:cNvPicPr>
      </xdr:nvPicPr>
      <xdr:blipFill>
        <a:blip xmlns:r="http://schemas.openxmlformats.org/officeDocument/2006/relationships" r:embed="rId3"/>
        <a:stretch>
          <a:fillRect/>
        </a:stretch>
      </xdr:blipFill>
      <xdr:spPr>
        <a:xfrm>
          <a:off x="12272009" y="1343026"/>
          <a:ext cx="6816091" cy="1162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4560"/>
    <xdr:sp macro="" textlink="">
      <xdr:nvSpPr>
        <xdr:cNvPr id="2" name="TextBox 1">
          <a:extLst>
            <a:ext uri="{FF2B5EF4-FFF2-40B4-BE49-F238E27FC236}">
              <a16:creationId xmlns:a16="http://schemas.microsoft.com/office/drawing/2014/main" id="{771277BE-0012-4166-9727-9C9198B58366}"/>
            </a:ext>
          </a:extLst>
        </xdr:cNvPr>
        <xdr:cNvSpPr txBox="1"/>
      </xdr:nvSpPr>
      <xdr:spPr>
        <a:xfrm>
          <a:off x="6496050" y="2187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95250</xdr:rowOff>
    </xdr:from>
    <xdr:to>
      <xdr:col>9</xdr:col>
      <xdr:colOff>1304925</xdr:colOff>
      <xdr:row>113</xdr:row>
      <xdr:rowOff>38100</xdr:rowOff>
    </xdr:to>
    <xdr:sp macro="" textlink="">
      <xdr:nvSpPr>
        <xdr:cNvPr id="3" name="TextBox 2">
          <a:extLst>
            <a:ext uri="{FF2B5EF4-FFF2-40B4-BE49-F238E27FC236}">
              <a16:creationId xmlns:a16="http://schemas.microsoft.com/office/drawing/2014/main" id="{366CEC6F-3BD6-4AF0-BB04-DCD1002F935A}"/>
            </a:ext>
          </a:extLst>
        </xdr:cNvPr>
        <xdr:cNvSpPr txBox="1"/>
      </xdr:nvSpPr>
      <xdr:spPr>
        <a:xfrm>
          <a:off x="76199" y="21069300"/>
          <a:ext cx="88296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549275</xdr:colOff>
      <xdr:row>110</xdr:row>
      <xdr:rowOff>15241</xdr:rowOff>
    </xdr:from>
    <xdr:to>
      <xdr:col>21</xdr:col>
      <xdr:colOff>1352550</xdr:colOff>
      <xdr:row>113</xdr:row>
      <xdr:rowOff>19050</xdr:rowOff>
    </xdr:to>
    <xdr:pic>
      <xdr:nvPicPr>
        <xdr:cNvPr id="4" name="Picture 3">
          <a:extLst>
            <a:ext uri="{FF2B5EF4-FFF2-40B4-BE49-F238E27FC236}">
              <a16:creationId xmlns:a16="http://schemas.microsoft.com/office/drawing/2014/main" id="{467F7269-94F4-4B2E-A01C-90C6413A615B}"/>
            </a:ext>
          </a:extLst>
        </xdr:cNvPr>
        <xdr:cNvPicPr>
          <a:picLocks noChangeAspect="1"/>
        </xdr:cNvPicPr>
      </xdr:nvPicPr>
      <xdr:blipFill>
        <a:blip xmlns:r="http://schemas.openxmlformats.org/officeDocument/2006/relationships" r:embed="rId1"/>
        <a:stretch>
          <a:fillRect/>
        </a:stretch>
      </xdr:blipFill>
      <xdr:spPr>
        <a:xfrm>
          <a:off x="15865475" y="20989291"/>
          <a:ext cx="2237740" cy="542924"/>
        </a:xfrm>
        <a:prstGeom prst="rect">
          <a:avLst/>
        </a:prstGeom>
        <a:noFill/>
        <a:ln>
          <a:noFill/>
        </a:ln>
      </xdr:spPr>
    </xdr:pic>
    <xdr:clientData/>
  </xdr:twoCellAnchor>
  <xdr:twoCellAnchor>
    <xdr:from>
      <xdr:col>4</xdr:col>
      <xdr:colOff>325691</xdr:colOff>
      <xdr:row>0</xdr:row>
      <xdr:rowOff>66242</xdr:rowOff>
    </xdr:from>
    <xdr:to>
      <xdr:col>13</xdr:col>
      <xdr:colOff>93345</xdr:colOff>
      <xdr:row>2</xdr:row>
      <xdr:rowOff>240030</xdr:rowOff>
    </xdr:to>
    <xdr:sp macro="" textlink="">
      <xdr:nvSpPr>
        <xdr:cNvPr id="5" name="TextBox 4">
          <a:extLst>
            <a:ext uri="{FF2B5EF4-FFF2-40B4-BE49-F238E27FC236}">
              <a16:creationId xmlns:a16="http://schemas.microsoft.com/office/drawing/2014/main" id="{B9BEEFFA-1C59-4475-8F70-4FEADC094F22}"/>
            </a:ext>
          </a:extLst>
        </xdr:cNvPr>
        <xdr:cNvSpPr txBox="1"/>
      </xdr:nvSpPr>
      <xdr:spPr>
        <a:xfrm>
          <a:off x="4421441" y="66242"/>
          <a:ext cx="6558979" cy="688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clientData/>
  </xdr:twoCellAnchor>
  <xdr:twoCellAnchor>
    <xdr:from>
      <xdr:col>18</xdr:col>
      <xdr:colOff>0</xdr:colOff>
      <xdr:row>3</xdr:row>
      <xdr:rowOff>53340</xdr:rowOff>
    </xdr:from>
    <xdr:to>
      <xdr:col>21</xdr:col>
      <xdr:colOff>1950720</xdr:colOff>
      <xdr:row>4</xdr:row>
      <xdr:rowOff>152400</xdr:rowOff>
    </xdr:to>
    <xdr:sp macro="" textlink="">
      <xdr:nvSpPr>
        <xdr:cNvPr id="8" name="TextBox 7">
          <a:extLst>
            <a:ext uri="{FF2B5EF4-FFF2-40B4-BE49-F238E27FC236}">
              <a16:creationId xmlns:a16="http://schemas.microsoft.com/office/drawing/2014/main" id="{B1956A86-CDB7-43F8-8AD3-91019FB6F509}"/>
            </a:ext>
          </a:extLst>
        </xdr:cNvPr>
        <xdr:cNvSpPr txBox="1"/>
      </xdr:nvSpPr>
      <xdr:spPr>
        <a:xfrm>
          <a:off x="14316075" y="914400"/>
          <a:ext cx="5962650" cy="3333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2  Filipino</a:t>
          </a:r>
          <a:r>
            <a:rPr lang="en-PH" sz="1800" b="1" baseline="0">
              <a:solidFill>
                <a:schemeClr val="bg1"/>
              </a:solidFill>
            </a:rPr>
            <a:t> </a:t>
          </a:r>
          <a:r>
            <a:rPr lang="en-PH" sz="1800" b="1">
              <a:solidFill>
                <a:schemeClr val="bg1"/>
              </a:solidFill>
            </a:rPr>
            <a:t>Reading Assessment Scoresheet</a:t>
          </a:r>
        </a:p>
      </xdr:txBody>
    </xdr:sp>
    <xdr:clientData/>
  </xdr:twoCellAnchor>
  <xdr:twoCellAnchor>
    <xdr:from>
      <xdr:col>20</xdr:col>
      <xdr:colOff>533400</xdr:colOff>
      <xdr:row>0</xdr:row>
      <xdr:rowOff>91440</xdr:rowOff>
    </xdr:from>
    <xdr:to>
      <xdr:col>21</xdr:col>
      <xdr:colOff>2294389</xdr:colOff>
      <xdr:row>2</xdr:row>
      <xdr:rowOff>228048</xdr:rowOff>
    </xdr:to>
    <xdr:grpSp>
      <xdr:nvGrpSpPr>
        <xdr:cNvPr id="9" name="Group 8">
          <a:extLst>
            <a:ext uri="{FF2B5EF4-FFF2-40B4-BE49-F238E27FC236}">
              <a16:creationId xmlns:a16="http://schemas.microsoft.com/office/drawing/2014/main" id="{1CBFC361-96F6-4EB3-94F4-1EA307EC0704}"/>
            </a:ext>
          </a:extLst>
        </xdr:cNvPr>
        <xdr:cNvGrpSpPr/>
      </xdr:nvGrpSpPr>
      <xdr:grpSpPr>
        <a:xfrm>
          <a:off x="15857220" y="91440"/>
          <a:ext cx="3201169" cy="647148"/>
          <a:chOff x="16253460" y="45720"/>
          <a:chExt cx="3198311" cy="645560"/>
        </a:xfrm>
      </xdr:grpSpPr>
      <xdr:pic>
        <xdr:nvPicPr>
          <xdr:cNvPr id="10" name="Picture 9">
            <a:extLst>
              <a:ext uri="{FF2B5EF4-FFF2-40B4-BE49-F238E27FC236}">
                <a16:creationId xmlns:a16="http://schemas.microsoft.com/office/drawing/2014/main" id="{099CF05C-40BB-0DEF-6286-270235F40C42}"/>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1" name="TextBox 10">
            <a:extLst>
              <a:ext uri="{FF2B5EF4-FFF2-40B4-BE49-F238E27FC236}">
                <a16:creationId xmlns:a16="http://schemas.microsoft.com/office/drawing/2014/main" id="{5E7E3BA9-0BF3-87D9-57EF-F008C0217C8E}"/>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3</xdr:col>
      <xdr:colOff>190500</xdr:colOff>
      <xdr:row>0</xdr:row>
      <xdr:rowOff>28575</xdr:rowOff>
    </xdr:from>
    <xdr:to>
      <xdr:col>4</xdr:col>
      <xdr:colOff>209549</xdr:colOff>
      <xdr:row>2</xdr:row>
      <xdr:rowOff>262898</xdr:rowOff>
    </xdr:to>
    <xdr:pic>
      <xdr:nvPicPr>
        <xdr:cNvPr id="12" name="Picture 11">
          <a:extLst>
            <a:ext uri="{FF2B5EF4-FFF2-40B4-BE49-F238E27FC236}">
              <a16:creationId xmlns:a16="http://schemas.microsoft.com/office/drawing/2014/main" id="{11642437-4B02-4B08-814D-0743B77407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57575" y="28575"/>
          <a:ext cx="851534" cy="748673"/>
        </a:xfrm>
        <a:prstGeom prst="rect">
          <a:avLst/>
        </a:prstGeom>
      </xdr:spPr>
    </xdr:pic>
    <xdr:clientData/>
  </xdr:twoCellAnchor>
  <xdr:twoCellAnchor editAs="oneCell">
    <xdr:from>
      <xdr:col>16</xdr:col>
      <xdr:colOff>9525</xdr:colOff>
      <xdr:row>4</xdr:row>
      <xdr:rowOff>171450</xdr:rowOff>
    </xdr:from>
    <xdr:to>
      <xdr:col>22</xdr:col>
      <xdr:colOff>95079</xdr:colOff>
      <xdr:row>9</xdr:row>
      <xdr:rowOff>19532</xdr:rowOff>
    </xdr:to>
    <xdr:pic>
      <xdr:nvPicPr>
        <xdr:cNvPr id="13" name="Picture 12">
          <a:extLst>
            <a:ext uri="{FF2B5EF4-FFF2-40B4-BE49-F238E27FC236}">
              <a16:creationId xmlns:a16="http://schemas.microsoft.com/office/drawing/2014/main" id="{00FD4DE8-E191-3190-3CCD-29BCAC8E7A89}"/>
            </a:ext>
          </a:extLst>
        </xdr:cNvPr>
        <xdr:cNvPicPr>
          <a:picLocks noChangeAspect="1"/>
        </xdr:cNvPicPr>
      </xdr:nvPicPr>
      <xdr:blipFill>
        <a:blip xmlns:r="http://schemas.openxmlformats.org/officeDocument/2006/relationships" r:embed="rId3"/>
        <a:stretch>
          <a:fillRect/>
        </a:stretch>
      </xdr:blipFill>
      <xdr:spPr>
        <a:xfrm>
          <a:off x="12372975" y="1266825"/>
          <a:ext cx="6819729" cy="11625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xdr:colOff>
      <xdr:row>108</xdr:row>
      <xdr:rowOff>123825</xdr:rowOff>
    </xdr:from>
    <xdr:to>
      <xdr:col>10</xdr:col>
      <xdr:colOff>672465</xdr:colOff>
      <xdr:row>111</xdr:row>
      <xdr:rowOff>76200</xdr:rowOff>
    </xdr:to>
    <xdr:sp macro="" textlink="">
      <xdr:nvSpPr>
        <xdr:cNvPr id="4" name="TextBox 3">
          <a:extLst>
            <a:ext uri="{FF2B5EF4-FFF2-40B4-BE49-F238E27FC236}">
              <a16:creationId xmlns:a16="http://schemas.microsoft.com/office/drawing/2014/main" id="{C46FA512-3E50-4A24-8DE4-553A44940CEB}"/>
            </a:ext>
          </a:extLst>
        </xdr:cNvPr>
        <xdr:cNvSpPr txBox="1"/>
      </xdr:nvSpPr>
      <xdr:spPr>
        <a:xfrm>
          <a:off x="24765" y="20250150"/>
          <a:ext cx="8401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262890</xdr:colOff>
      <xdr:row>108</xdr:row>
      <xdr:rowOff>28574</xdr:rowOff>
    </xdr:from>
    <xdr:to>
      <xdr:col>16</xdr:col>
      <xdr:colOff>2512127</xdr:colOff>
      <xdr:row>111</xdr:row>
      <xdr:rowOff>60959</xdr:rowOff>
    </xdr:to>
    <xdr:pic>
      <xdr:nvPicPr>
        <xdr:cNvPr id="5" name="Picture 4">
          <a:extLst>
            <a:ext uri="{FF2B5EF4-FFF2-40B4-BE49-F238E27FC236}">
              <a16:creationId xmlns:a16="http://schemas.microsoft.com/office/drawing/2014/main" id="{5A3A2459-CB6C-A3FC-DD71-47E7148B6496}"/>
            </a:ext>
          </a:extLst>
        </xdr:cNvPr>
        <xdr:cNvPicPr>
          <a:picLocks noChangeAspect="1"/>
        </xdr:cNvPicPr>
      </xdr:nvPicPr>
      <xdr:blipFill>
        <a:blip xmlns:r="http://schemas.openxmlformats.org/officeDocument/2006/relationships" r:embed="rId1"/>
        <a:stretch>
          <a:fillRect/>
        </a:stretch>
      </xdr:blipFill>
      <xdr:spPr>
        <a:xfrm>
          <a:off x="11559540" y="20154899"/>
          <a:ext cx="2249237" cy="581025"/>
        </a:xfrm>
        <a:prstGeom prst="rect">
          <a:avLst/>
        </a:prstGeom>
      </xdr:spPr>
    </xdr:pic>
    <xdr:clientData/>
  </xdr:twoCellAnchor>
  <xdr:twoCellAnchor editAs="oneCell">
    <xdr:from>
      <xdr:col>0</xdr:col>
      <xdr:colOff>62865</xdr:colOff>
      <xdr:row>1</xdr:row>
      <xdr:rowOff>19050</xdr:rowOff>
    </xdr:from>
    <xdr:to>
      <xdr:col>6</xdr:col>
      <xdr:colOff>363855</xdr:colOff>
      <xdr:row>3</xdr:row>
      <xdr:rowOff>282004</xdr:rowOff>
    </xdr:to>
    <xdr:pic>
      <xdr:nvPicPr>
        <xdr:cNvPr id="3" name="Picture 2">
          <a:extLst>
            <a:ext uri="{FF2B5EF4-FFF2-40B4-BE49-F238E27FC236}">
              <a16:creationId xmlns:a16="http://schemas.microsoft.com/office/drawing/2014/main" id="{99801E7F-93F4-4DB1-0D9F-0F3BA6EBC3CD}"/>
            </a:ext>
          </a:extLst>
        </xdr:cNvPr>
        <xdr:cNvPicPr>
          <a:picLocks noChangeAspect="1"/>
        </xdr:cNvPicPr>
      </xdr:nvPicPr>
      <xdr:blipFill>
        <a:blip xmlns:r="http://schemas.openxmlformats.org/officeDocument/2006/relationships" r:embed="rId2"/>
        <a:stretch>
          <a:fillRect/>
        </a:stretch>
      </xdr:blipFill>
      <xdr:spPr>
        <a:xfrm>
          <a:off x="62865" y="200025"/>
          <a:ext cx="6576060" cy="672529"/>
        </a:xfrm>
        <a:prstGeom prst="rect">
          <a:avLst/>
        </a:prstGeom>
      </xdr:spPr>
    </xdr:pic>
    <xdr:clientData/>
  </xdr:twoCellAnchor>
  <xdr:twoCellAnchor>
    <xdr:from>
      <xdr:col>15</xdr:col>
      <xdr:colOff>1343025</xdr:colOff>
      <xdr:row>0</xdr:row>
      <xdr:rowOff>133350</xdr:rowOff>
    </xdr:from>
    <xdr:to>
      <xdr:col>17</xdr:col>
      <xdr:colOff>6484</xdr:colOff>
      <xdr:row>3</xdr:row>
      <xdr:rowOff>191853</xdr:rowOff>
    </xdr:to>
    <xdr:grpSp>
      <xdr:nvGrpSpPr>
        <xdr:cNvPr id="9" name="Group 8">
          <a:extLst>
            <a:ext uri="{FF2B5EF4-FFF2-40B4-BE49-F238E27FC236}">
              <a16:creationId xmlns:a16="http://schemas.microsoft.com/office/drawing/2014/main" id="{03C32265-D460-4675-9946-9252AE6F2256}"/>
            </a:ext>
          </a:extLst>
        </xdr:cNvPr>
        <xdr:cNvGrpSpPr/>
      </xdr:nvGrpSpPr>
      <xdr:grpSpPr>
        <a:xfrm>
          <a:off x="15721965" y="133350"/>
          <a:ext cx="3197359" cy="652863"/>
          <a:chOff x="16253460" y="45720"/>
          <a:chExt cx="3198311" cy="645560"/>
        </a:xfrm>
      </xdr:grpSpPr>
      <xdr:pic>
        <xdr:nvPicPr>
          <xdr:cNvPr id="10" name="Picture 9">
            <a:extLst>
              <a:ext uri="{FF2B5EF4-FFF2-40B4-BE49-F238E27FC236}">
                <a16:creationId xmlns:a16="http://schemas.microsoft.com/office/drawing/2014/main" id="{B0A25A2F-2FFE-609A-3391-B4DACCEF6CA5}"/>
              </a:ext>
            </a:extLst>
          </xdr:cNvPr>
          <xdr:cNvPicPr>
            <a:picLocks noChangeAspect="1"/>
          </xdr:cNvPicPr>
        </xdr:nvPicPr>
        <xdr:blipFill>
          <a:blip xmlns:r="http://schemas.openxmlformats.org/officeDocument/2006/relationships" r:embed="rId3"/>
          <a:stretch>
            <a:fillRect/>
          </a:stretch>
        </xdr:blipFill>
        <xdr:spPr>
          <a:xfrm>
            <a:off x="16524208" y="45720"/>
            <a:ext cx="2551828" cy="480696"/>
          </a:xfrm>
          <a:prstGeom prst="rect">
            <a:avLst/>
          </a:prstGeom>
          <a:noFill/>
          <a:ln>
            <a:noFill/>
          </a:ln>
        </xdr:spPr>
      </xdr:pic>
      <xdr:sp macro="" textlink="">
        <xdr:nvSpPr>
          <xdr:cNvPr id="11" name="TextBox 10">
            <a:extLst>
              <a:ext uri="{FF2B5EF4-FFF2-40B4-BE49-F238E27FC236}">
                <a16:creationId xmlns:a16="http://schemas.microsoft.com/office/drawing/2014/main" id="{00B63EA1-989B-8B6E-BA6A-F8F30C9ED5C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545703</xdr:colOff>
      <xdr:row>46</xdr:row>
      <xdr:rowOff>133667</xdr:rowOff>
    </xdr:from>
    <xdr:to>
      <xdr:col>17</xdr:col>
      <xdr:colOff>162560</xdr:colOff>
      <xdr:row>66</xdr:row>
      <xdr:rowOff>124777</xdr:rowOff>
    </xdr:to>
    <xdr:graphicFrame macro="">
      <xdr:nvGraphicFramePr>
        <xdr:cNvPr id="3" name="Chart 2">
          <a:extLst>
            <a:ext uri="{FF2B5EF4-FFF2-40B4-BE49-F238E27FC236}">
              <a16:creationId xmlns:a16="http://schemas.microsoft.com/office/drawing/2014/main" id="{852FDCD9-8A17-4650-A9FB-5D3EE8DE1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234872</xdr:colOff>
      <xdr:row>89</xdr:row>
      <xdr:rowOff>65244</xdr:rowOff>
    </xdr:from>
    <xdr:to>
      <xdr:col>10</xdr:col>
      <xdr:colOff>406797</xdr:colOff>
      <xdr:row>93</xdr:row>
      <xdr:rowOff>44607</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34872" y="17736103"/>
          <a:ext cx="8595597" cy="693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14</xdr:col>
      <xdr:colOff>586502</xdr:colOff>
      <xdr:row>88</xdr:row>
      <xdr:rowOff>48337</xdr:rowOff>
    </xdr:from>
    <xdr:to>
      <xdr:col>18</xdr:col>
      <xdr:colOff>365600</xdr:colOff>
      <xdr:row>91</xdr:row>
      <xdr:rowOff>154939</xdr:rowOff>
    </xdr:to>
    <xdr:pic>
      <xdr:nvPicPr>
        <xdr:cNvPr id="12" name="Picture 11">
          <a:extLst>
            <a:ext uri="{FF2B5EF4-FFF2-40B4-BE49-F238E27FC236}">
              <a16:creationId xmlns:a16="http://schemas.microsoft.com/office/drawing/2014/main" id="{99E43EB3-DDD6-439B-AE56-C797770B906A}"/>
            </a:ext>
          </a:extLst>
        </xdr:cNvPr>
        <xdr:cNvPicPr>
          <a:picLocks noChangeAspect="1"/>
        </xdr:cNvPicPr>
      </xdr:nvPicPr>
      <xdr:blipFill>
        <a:blip xmlns:r="http://schemas.openxmlformats.org/officeDocument/2006/relationships" r:embed="rId2"/>
        <a:stretch>
          <a:fillRect/>
        </a:stretch>
      </xdr:blipFill>
      <xdr:spPr>
        <a:xfrm>
          <a:off x="11867674" y="17540603"/>
          <a:ext cx="2543491" cy="642383"/>
        </a:xfrm>
        <a:prstGeom prst="rect">
          <a:avLst/>
        </a:prstGeom>
      </xdr:spPr>
    </xdr:pic>
    <xdr:clientData/>
  </xdr:twoCellAnchor>
  <xdr:twoCellAnchor>
    <xdr:from>
      <xdr:col>15</xdr:col>
      <xdr:colOff>41277</xdr:colOff>
      <xdr:row>13</xdr:row>
      <xdr:rowOff>293211</xdr:rowOff>
    </xdr:from>
    <xdr:to>
      <xdr:col>18</xdr:col>
      <xdr:colOff>543403</xdr:colOff>
      <xdr:row>27</xdr:row>
      <xdr:rowOff>33576</xdr:rowOff>
    </xdr:to>
    <xdr:graphicFrame macro="">
      <xdr:nvGraphicFramePr>
        <xdr:cNvPr id="5" name="Chart 4">
          <a:extLst>
            <a:ext uri="{FF2B5EF4-FFF2-40B4-BE49-F238E27FC236}">
              <a16:creationId xmlns:a16="http://schemas.microsoft.com/office/drawing/2014/main" id="{D05AE35C-FF74-5F78-6400-F0806B6D1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514031</xdr:colOff>
      <xdr:row>15</xdr:row>
      <xdr:rowOff>24131</xdr:rowOff>
    </xdr:from>
    <xdr:to>
      <xdr:col>18</xdr:col>
      <xdr:colOff>77468</xdr:colOff>
      <xdr:row>16</xdr:row>
      <xdr:rowOff>122794</xdr:rowOff>
    </xdr:to>
    <xdr:sp macro="" textlink="">
      <xdr:nvSpPr>
        <xdr:cNvPr id="6" name="TextBox 5">
          <a:extLst>
            <a:ext uri="{FF2B5EF4-FFF2-40B4-BE49-F238E27FC236}">
              <a16:creationId xmlns:a16="http://schemas.microsoft.com/office/drawing/2014/main" id="{25FD3153-3629-254A-DB10-C3B1AF4F2923}"/>
            </a:ext>
          </a:extLst>
        </xdr:cNvPr>
        <xdr:cNvSpPr txBox="1"/>
      </xdr:nvSpPr>
      <xdr:spPr>
        <a:xfrm>
          <a:off x="12459969" y="4181397"/>
          <a:ext cx="1666874" cy="2772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 of Learners Assessed</a:t>
          </a:r>
        </a:p>
      </xdr:txBody>
    </xdr:sp>
    <xdr:clientData/>
  </xdr:twoCellAnchor>
  <xdr:twoCellAnchor>
    <xdr:from>
      <xdr:col>0</xdr:col>
      <xdr:colOff>555308</xdr:colOff>
      <xdr:row>25</xdr:row>
      <xdr:rowOff>150812</xdr:rowOff>
    </xdr:from>
    <xdr:to>
      <xdr:col>17</xdr:col>
      <xdr:colOff>188515</xdr:colOff>
      <xdr:row>45</xdr:row>
      <xdr:rowOff>115888</xdr:rowOff>
    </xdr:to>
    <xdr:graphicFrame macro="">
      <xdr:nvGraphicFramePr>
        <xdr:cNvPr id="13" name="Chart 12">
          <a:extLst>
            <a:ext uri="{FF2B5EF4-FFF2-40B4-BE49-F238E27FC236}">
              <a16:creationId xmlns:a16="http://schemas.microsoft.com/office/drawing/2014/main" id="{DDCDB85A-C8D1-4F7E-837B-15DCC6528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174784</xdr:colOff>
      <xdr:row>67</xdr:row>
      <xdr:rowOff>148828</xdr:rowOff>
    </xdr:from>
    <xdr:to>
      <xdr:col>10</xdr:col>
      <xdr:colOff>218282</xdr:colOff>
      <xdr:row>87</xdr:row>
      <xdr:rowOff>134223</xdr:rowOff>
    </xdr:to>
    <xdr:graphicFrame macro="">
      <xdr:nvGraphicFramePr>
        <xdr:cNvPr id="2" name="Chart 1">
          <a:extLst>
            <a:ext uri="{FF2B5EF4-FFF2-40B4-BE49-F238E27FC236}">
              <a16:creationId xmlns:a16="http://schemas.microsoft.com/office/drawing/2014/main" id="{1536D793-8616-49CE-9977-7A75BA96F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342899</xdr:colOff>
      <xdr:row>67</xdr:row>
      <xdr:rowOff>166370</xdr:rowOff>
    </xdr:from>
    <xdr:to>
      <xdr:col>18</xdr:col>
      <xdr:colOff>496093</xdr:colOff>
      <xdr:row>87</xdr:row>
      <xdr:rowOff>151765</xdr:rowOff>
    </xdr:to>
    <xdr:graphicFrame macro="">
      <xdr:nvGraphicFramePr>
        <xdr:cNvPr id="7" name="Chart 6">
          <a:extLst>
            <a:ext uri="{FF2B5EF4-FFF2-40B4-BE49-F238E27FC236}">
              <a16:creationId xmlns:a16="http://schemas.microsoft.com/office/drawing/2014/main" id="{6C95E5CC-098C-42C6-AF8B-8D70EB3D5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466964</xdr:colOff>
      <xdr:row>0</xdr:row>
      <xdr:rowOff>119062</xdr:rowOff>
    </xdr:from>
    <xdr:to>
      <xdr:col>19</xdr:col>
      <xdr:colOff>151131</xdr:colOff>
      <xdr:row>4</xdr:row>
      <xdr:rowOff>55467</xdr:rowOff>
    </xdr:to>
    <xdr:pic>
      <xdr:nvPicPr>
        <xdr:cNvPr id="8" name="Picture 7">
          <a:extLst>
            <a:ext uri="{FF2B5EF4-FFF2-40B4-BE49-F238E27FC236}">
              <a16:creationId xmlns:a16="http://schemas.microsoft.com/office/drawing/2014/main" id="{E65C5DFB-5A31-4F8D-8F1B-D0705E703BC1}"/>
            </a:ext>
          </a:extLst>
        </xdr:cNvPr>
        <xdr:cNvPicPr>
          <a:picLocks noChangeAspect="1"/>
        </xdr:cNvPicPr>
      </xdr:nvPicPr>
      <xdr:blipFill rotWithShape="1">
        <a:blip xmlns:r="http://schemas.openxmlformats.org/officeDocument/2006/relationships" r:embed="rId7"/>
        <a:srcRect r="18058"/>
        <a:stretch/>
      </xdr:blipFill>
      <xdr:spPr>
        <a:xfrm>
          <a:off x="9555402" y="119062"/>
          <a:ext cx="5389245" cy="682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801191</xdr:colOff>
      <xdr:row>12</xdr:row>
      <xdr:rowOff>91440</xdr:rowOff>
    </xdr:from>
    <xdr:to>
      <xdr:col>6</xdr:col>
      <xdr:colOff>260918</xdr:colOff>
      <xdr:row>43</xdr:row>
      <xdr:rowOff>3296</xdr:rowOff>
    </xdr:to>
    <xdr:pic>
      <xdr:nvPicPr>
        <xdr:cNvPr id="6" name="Picture 5">
          <a:extLst>
            <a:ext uri="{FF2B5EF4-FFF2-40B4-BE49-F238E27FC236}">
              <a16:creationId xmlns:a16="http://schemas.microsoft.com/office/drawing/2014/main" id="{BF8C78B2-ABBA-F84E-FEED-69EBEAF314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01191" y="3339465"/>
          <a:ext cx="9984852" cy="552208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AD110"/>
  <sheetViews>
    <sheetView tabSelected="1" workbookViewId="0">
      <pane xSplit="3" ySplit="10" topLeftCell="D14" activePane="bottomRight" state="frozen"/>
      <selection pane="topRight" activeCell="D1" sqref="D1"/>
      <selection pane="bottomLeft" activeCell="A9" sqref="A9"/>
      <selection pane="bottomRight" activeCell="C3" sqref="C3"/>
    </sheetView>
  </sheetViews>
  <sheetFormatPr defaultColWidth="0" defaultRowHeight="14.4" x14ac:dyDescent="0.3"/>
  <cols>
    <col min="1" max="1" width="4.77734375" customWidth="1"/>
    <col min="2" max="2" width="15.44140625" style="3" customWidth="1"/>
    <col min="3" max="3" width="27.5546875" customWidth="1"/>
    <col min="4" max="4" width="12.109375" style="1" customWidth="1"/>
    <col min="5" max="5" width="11.6640625" style="1" customWidth="1"/>
    <col min="6" max="6" width="9.5546875" style="1" customWidth="1"/>
    <col min="7" max="7" width="8.21875" style="1" customWidth="1"/>
    <col min="8" max="8" width="9.33203125" style="1" customWidth="1"/>
    <col min="9" max="9" width="10.44140625" style="1" customWidth="1"/>
    <col min="10" max="10" width="20.21875" style="2" customWidth="1"/>
    <col min="11" max="11" width="9.77734375" style="1" customWidth="1"/>
    <col min="12" max="12" width="8.6640625" style="1" customWidth="1"/>
    <col min="13" max="13" width="9.5546875" style="1" customWidth="1"/>
    <col min="14" max="14" width="6.109375" style="1" customWidth="1"/>
    <col min="15" max="15" width="5.109375" style="1" customWidth="1"/>
    <col min="16" max="16" width="10.33203125" style="1" customWidth="1"/>
    <col min="17" max="17" width="9.5546875" style="1" customWidth="1"/>
    <col min="18" max="18" width="10.88671875" style="1" customWidth="1"/>
    <col min="19" max="19" width="11.77734375" style="1" customWidth="1"/>
    <col min="20" max="20" width="10.77734375" style="1" customWidth="1"/>
    <col min="21" max="21" width="23.33203125" style="1" customWidth="1"/>
    <col min="22" max="22" width="34" customWidth="1"/>
    <col min="23" max="23" width="8.88671875" customWidth="1"/>
    <col min="24" max="29" width="10.6640625" hidden="1" customWidth="1"/>
    <col min="30" max="30" width="10.6640625" customWidth="1"/>
    <col min="31" max="16384" width="10.6640625" hidden="1"/>
  </cols>
  <sheetData>
    <row r="1" spans="1:26" ht="22.2" customHeight="1" x14ac:dyDescent="0.3">
      <c r="A1" t="s">
        <v>190</v>
      </c>
    </row>
    <row r="2" spans="1:26" ht="18" customHeight="1" thickBot="1" x14ac:dyDescent="0.35"/>
    <row r="3" spans="1:26" ht="27" customHeight="1" thickBot="1" x14ac:dyDescent="0.35">
      <c r="A3" s="284" t="s">
        <v>110</v>
      </c>
      <c r="B3" s="285"/>
      <c r="C3" s="153"/>
    </row>
    <row r="4" spans="1:26" ht="18.600000000000001" customHeight="1" thickBot="1" x14ac:dyDescent="0.35">
      <c r="A4" s="306" t="s">
        <v>4</v>
      </c>
      <c r="B4" s="307"/>
      <c r="C4" s="154"/>
      <c r="D4" s="149" t="s">
        <v>85</v>
      </c>
      <c r="E4" s="60"/>
      <c r="F4" s="124">
        <f>D6+E6</f>
        <v>0</v>
      </c>
      <c r="G4" s="292" t="s">
        <v>83</v>
      </c>
      <c r="H4" s="292"/>
      <c r="I4" s="125">
        <f>COUNTIF(F11:F110,"&lt;&gt;")</f>
        <v>0</v>
      </c>
      <c r="J4" s="61"/>
      <c r="K4" s="112"/>
      <c r="L4" s="112"/>
      <c r="M4" s="112"/>
      <c r="N4" s="112"/>
      <c r="O4" s="112"/>
      <c r="P4" s="112"/>
      <c r="Q4" s="112"/>
      <c r="R4" s="112"/>
      <c r="S4" s="112"/>
      <c r="T4" s="112"/>
      <c r="U4" s="112"/>
      <c r="V4" s="113"/>
    </row>
    <row r="5" spans="1:26" ht="18" customHeight="1" x14ac:dyDescent="0.3">
      <c r="A5" s="312" t="s">
        <v>70</v>
      </c>
      <c r="B5" s="313"/>
      <c r="C5" s="155"/>
      <c r="D5" s="150" t="s">
        <v>80</v>
      </c>
      <c r="E5" s="21" t="s">
        <v>81</v>
      </c>
      <c r="F5" s="319" t="s">
        <v>112</v>
      </c>
      <c r="G5" s="320"/>
      <c r="H5" s="320"/>
      <c r="I5" s="320"/>
      <c r="J5" s="317" t="s">
        <v>176</v>
      </c>
      <c r="K5" s="323" t="s">
        <v>132</v>
      </c>
      <c r="L5" s="324"/>
      <c r="M5" s="324"/>
      <c r="N5" s="324"/>
      <c r="O5" s="324"/>
      <c r="P5" s="324"/>
      <c r="Q5" s="114"/>
      <c r="R5" s="114"/>
      <c r="S5" s="114"/>
      <c r="T5" s="114"/>
      <c r="U5" s="114"/>
      <c r="V5" s="115"/>
    </row>
    <row r="6" spans="1:26" ht="19.8" customHeight="1" x14ac:dyDescent="0.3">
      <c r="A6" s="308" t="s">
        <v>1</v>
      </c>
      <c r="B6" s="309"/>
      <c r="C6" s="155"/>
      <c r="D6" s="151"/>
      <c r="E6" s="30"/>
      <c r="F6" s="321"/>
      <c r="G6" s="322"/>
      <c r="H6" s="322"/>
      <c r="I6" s="322"/>
      <c r="J6" s="318"/>
      <c r="K6" s="325"/>
      <c r="L6" s="326"/>
      <c r="M6" s="326"/>
      <c r="N6" s="326"/>
      <c r="O6" s="326"/>
      <c r="P6" s="326"/>
      <c r="Q6" s="286"/>
      <c r="R6" s="287"/>
      <c r="S6" s="287"/>
      <c r="T6" s="288"/>
      <c r="U6" s="290"/>
      <c r="V6" s="291"/>
    </row>
    <row r="7" spans="1:26" ht="36" customHeight="1" x14ac:dyDescent="0.3">
      <c r="A7" s="308" t="s">
        <v>2</v>
      </c>
      <c r="B7" s="309"/>
      <c r="C7" s="156" t="s">
        <v>101</v>
      </c>
      <c r="D7" s="314" t="s">
        <v>115</v>
      </c>
      <c r="E7" s="315"/>
      <c r="F7" s="293" t="s">
        <v>189</v>
      </c>
      <c r="G7" s="295" t="s">
        <v>86</v>
      </c>
      <c r="H7" s="295" t="s">
        <v>174</v>
      </c>
      <c r="I7" s="296" t="s">
        <v>175</v>
      </c>
      <c r="J7" s="318"/>
      <c r="K7" s="126" t="s">
        <v>131</v>
      </c>
      <c r="L7" s="127" t="s">
        <v>113</v>
      </c>
      <c r="M7" s="117">
        <f>_xlfn.IFNA(IF(X9=1,Y9,IF(D9&gt;0,D9,95)),"")</f>
        <v>96</v>
      </c>
      <c r="N7" s="305" t="s">
        <v>114</v>
      </c>
      <c r="O7" s="305"/>
      <c r="P7" s="117">
        <f>_xlfn.IFNA(IF(X9=1,Z9,IF(E9&gt;0,E9,95)),"")</f>
        <v>95</v>
      </c>
      <c r="Q7" s="289"/>
      <c r="R7" s="290"/>
      <c r="S7" s="290"/>
      <c r="T7" s="291"/>
      <c r="U7" s="290"/>
      <c r="V7" s="291"/>
    </row>
    <row r="8" spans="1:26" ht="17.399999999999999" customHeight="1" x14ac:dyDescent="0.3">
      <c r="A8" s="308" t="s">
        <v>19</v>
      </c>
      <c r="B8" s="309"/>
      <c r="C8" s="155"/>
      <c r="D8" s="152" t="s">
        <v>113</v>
      </c>
      <c r="E8" s="62" t="s">
        <v>114</v>
      </c>
      <c r="F8" s="293"/>
      <c r="G8" s="295"/>
      <c r="H8" s="295"/>
      <c r="I8" s="297"/>
      <c r="J8" s="318"/>
      <c r="K8" s="294" t="s">
        <v>90</v>
      </c>
      <c r="L8" s="296" t="s">
        <v>130</v>
      </c>
      <c r="M8" s="296" t="s">
        <v>106</v>
      </c>
      <c r="N8" s="299" t="s">
        <v>104</v>
      </c>
      <c r="O8" s="300"/>
      <c r="P8" s="303" t="s">
        <v>94</v>
      </c>
      <c r="Q8" s="289"/>
      <c r="R8" s="290"/>
      <c r="S8" s="290"/>
      <c r="T8" s="291"/>
      <c r="U8" s="290"/>
      <c r="V8" s="291"/>
    </row>
    <row r="9" spans="1:26" ht="20.399999999999999" customHeight="1" thickBot="1" x14ac:dyDescent="0.35">
      <c r="A9" s="310" t="s">
        <v>5</v>
      </c>
      <c r="B9" s="311"/>
      <c r="C9" s="275" t="s">
        <v>17</v>
      </c>
      <c r="D9" s="190"/>
      <c r="E9" s="191"/>
      <c r="F9" s="294"/>
      <c r="G9" s="296"/>
      <c r="H9" s="296"/>
      <c r="I9" s="297"/>
      <c r="J9" s="318"/>
      <c r="K9" s="316"/>
      <c r="L9" s="298"/>
      <c r="M9" s="298"/>
      <c r="N9" s="301"/>
      <c r="O9" s="302"/>
      <c r="P9" s="304"/>
      <c r="Q9" s="289"/>
      <c r="R9" s="290"/>
      <c r="S9" s="290"/>
      <c r="T9" s="291"/>
      <c r="U9" s="290"/>
      <c r="V9" s="291"/>
      <c r="X9" s="111">
        <f>IF(_xlfn.IFNA(VLOOKUP($C$9,List!$G$2:$M$20,1,0),"")=C9,1,0)</f>
        <v>1</v>
      </c>
      <c r="Y9" s="111">
        <f>VLOOKUP($C$9,List!$G$2:$M$20,4,0)</f>
        <v>96</v>
      </c>
      <c r="Z9" s="111">
        <f>VLOOKUP($C$9,List!$G$2:$M$20,7,0)</f>
        <v>95</v>
      </c>
    </row>
    <row r="10" spans="1:26" ht="35.4" customHeight="1" thickBot="1" x14ac:dyDescent="0.35">
      <c r="A10" s="22" t="s">
        <v>9</v>
      </c>
      <c r="B10" s="23" t="s">
        <v>33</v>
      </c>
      <c r="C10" s="18" t="s">
        <v>10</v>
      </c>
      <c r="D10" s="24" t="s">
        <v>30</v>
      </c>
      <c r="E10" s="25" t="s">
        <v>11</v>
      </c>
      <c r="F10" s="206" t="s">
        <v>6</v>
      </c>
      <c r="G10" s="207" t="s">
        <v>172</v>
      </c>
      <c r="H10" s="207" t="s">
        <v>173</v>
      </c>
      <c r="I10" s="26" t="s">
        <v>7</v>
      </c>
      <c r="J10" s="19" t="s">
        <v>91</v>
      </c>
      <c r="K10" s="27" t="s">
        <v>87</v>
      </c>
      <c r="L10" s="116" t="s">
        <v>133</v>
      </c>
      <c r="M10" s="42" t="s">
        <v>88</v>
      </c>
      <c r="N10" s="283" t="s">
        <v>92</v>
      </c>
      <c r="O10" s="283"/>
      <c r="P10" s="42" t="s">
        <v>93</v>
      </c>
      <c r="Q10" s="28" t="s">
        <v>134</v>
      </c>
      <c r="R10" s="42" t="s">
        <v>89</v>
      </c>
      <c r="S10" s="28" t="s">
        <v>146</v>
      </c>
      <c r="T10" s="29" t="s">
        <v>135</v>
      </c>
      <c r="U10" s="59" t="s">
        <v>102</v>
      </c>
      <c r="V10" s="17" t="s">
        <v>8</v>
      </c>
    </row>
    <row r="11" spans="1:26" x14ac:dyDescent="0.3">
      <c r="A11" s="12">
        <v>1</v>
      </c>
      <c r="B11" s="72"/>
      <c r="C11" s="63"/>
      <c r="D11" s="64"/>
      <c r="E11" s="65"/>
      <c r="F11" s="66"/>
      <c r="G11" s="67"/>
      <c r="H11" s="67"/>
      <c r="I11" s="68" t="str">
        <f>IF(AND(F11="",G11=""),"",IF(F11&lt;7,F11+G11,F11+10+H11))</f>
        <v/>
      </c>
      <c r="J11" s="69" t="str">
        <f>IF(I11="","",IF(F11&lt;7,IF(I11&lt;=10,"Full Refresher","Moderate Refresher"),IF(I11&lt;27,"Light Refresher","Grade Ready")))</f>
        <v/>
      </c>
      <c r="K11" s="70"/>
      <c r="L11" s="71"/>
      <c r="M11" s="118" t="str">
        <f>IF($C$9&lt;&gt;"",IF(OR(K11=1, K11=2),IF(K11=1,M$7-L11,$P$7-L11),""),"")</f>
        <v/>
      </c>
      <c r="N11" s="72"/>
      <c r="O11" s="72"/>
      <c r="P11" s="120" t="str">
        <f>IF(AND(K11&gt;0,M11&gt;0,OR(N11&gt;0,O11&gt;0)),(M11/((N11*60)+O11))*60,"")</f>
        <v/>
      </c>
      <c r="Q11" s="121" t="str">
        <f>IFERROR(IF(OR(K11=1, K11=2),IF(K11=1,M11/$M$7,M11/$P$7),""),"")</f>
        <v/>
      </c>
      <c r="R11" s="72"/>
      <c r="S11" s="72"/>
      <c r="T11" s="73"/>
      <c r="U11" s="74" t="str">
        <f>IF(J11&lt;&gt;"",IF(J11="Full Refresher","Low Emerging Reader",IF(AND(K11&gt;0,Q11&lt;&gt;""),IF(OR(Q11&lt;=25%,AND(Q11&gt;25%,Q11&lt;=50%, R11=0)),"High Emerging Reader",IF(OR(AND(Q11&gt;25%,Q11&lt;51%, R11&gt;=1),AND(Q11&gt;50%,Q11&lt;76%,R11&lt;=2)),"Developing Reader",IF(OR(AND(Q11&gt;=51%, Q11&lt;76%,R11&gt;=3),AND(Q11&gt;75%,R11&lt;=4)),"Transitioning Reader",IF(AND(Q11&gt;75%,R11&gt;=5),"Reading At Grade Level","")))),"")),"")</f>
        <v/>
      </c>
      <c r="V11" s="75"/>
      <c r="Y11" s="218" t="str">
        <f>IF(C11&lt;&gt;"",R11/6,"")</f>
        <v/>
      </c>
    </row>
    <row r="12" spans="1:26" x14ac:dyDescent="0.3">
      <c r="A12" s="4">
        <v>2</v>
      </c>
      <c r="B12" s="85"/>
      <c r="C12" s="76"/>
      <c r="D12" s="77"/>
      <c r="E12" s="78"/>
      <c r="F12" s="79"/>
      <c r="G12" s="80"/>
      <c r="H12" s="80"/>
      <c r="I12" s="81" t="str">
        <f t="shared" ref="I12:I75" si="0">IF(AND(F12="",G12=""),"",IF(F12&lt;7,F12+G12,F12+10+H12))</f>
        <v/>
      </c>
      <c r="J12" s="82" t="str">
        <f t="shared" ref="J12:J75" si="1">IF(I12="","",IF(F12&lt;7,IF(I12&lt;=10,"Full Refresher","Moderate Refresher"),IF(I12&lt;27,"Light Refresher","Grade Ready")))</f>
        <v/>
      </c>
      <c r="K12" s="83"/>
      <c r="L12" s="84"/>
      <c r="M12" s="118" t="str">
        <f t="shared" ref="M12:M75" si="2">IF($C$9&lt;&gt;"",IF(OR(K12=1, K12=2),IF(K12=1,M$7-L12,$P$7-L12),""),"")</f>
        <v/>
      </c>
      <c r="N12" s="85"/>
      <c r="O12" s="85"/>
      <c r="P12" s="118" t="str">
        <f t="shared" ref="P12:P75" si="3">IF(AND(K12&gt;0,M12&gt;0,OR(N12&gt;0,O12&gt;0)),(M12/((N12*60)+O12))*60,"")</f>
        <v/>
      </c>
      <c r="Q12" s="122" t="str">
        <f t="shared" ref="Q12:Q75" si="4">IFERROR(IF(OR(K12=1, K12=2),IF(K12=1,M12/$M$7,M12/$P$7),""),"")</f>
        <v/>
      </c>
      <c r="R12" s="85"/>
      <c r="S12" s="85"/>
      <c r="T12" s="86"/>
      <c r="U12" s="87" t="str">
        <f t="shared" ref="U12:U75" si="5">IF(J12&lt;&gt;"",IF(J12="Full Refresher","Low Emerging Reader",IF(AND(K12&gt;0,Q12&lt;&gt;""),IF(OR(Q12&lt;=25%,AND(Q12&gt;25%,Q12&lt;=50%, R12=0)),"High Emerging Reader",IF(OR(AND(Q12&gt;25%,Q12&lt;51%, R12&gt;=1),AND(Q12&gt;50%,Q12&lt;76%,R12&lt;=2)),"Developing Reader",IF(OR(AND(Q12&gt;=51%, Q12&lt;76%,R12&gt;=3),AND(Q12&gt;75%,R12&lt;=4)),"Transitioning Reader",IF(AND(Q12&gt;75%,R12&gt;=5),"Reading At Grade Level","")))),"")),"")</f>
        <v/>
      </c>
      <c r="V12" s="88"/>
      <c r="Y12" s="218" t="str">
        <f t="shared" ref="Y12:Y75" si="6">IF(C12&lt;&gt;"",R12/6,"")</f>
        <v/>
      </c>
    </row>
    <row r="13" spans="1:26" x14ac:dyDescent="0.3">
      <c r="A13" s="5">
        <v>3</v>
      </c>
      <c r="B13" s="93"/>
      <c r="C13" s="89"/>
      <c r="D13" s="90"/>
      <c r="E13" s="91"/>
      <c r="F13" s="92"/>
      <c r="G13" s="67"/>
      <c r="H13" s="93"/>
      <c r="I13" s="81" t="str">
        <f t="shared" si="0"/>
        <v/>
      </c>
      <c r="J13" s="82" t="str">
        <f t="shared" si="1"/>
        <v/>
      </c>
      <c r="K13" s="94"/>
      <c r="L13" s="95"/>
      <c r="M13" s="118" t="str">
        <f t="shared" si="2"/>
        <v/>
      </c>
      <c r="N13" s="93"/>
      <c r="O13" s="93"/>
      <c r="P13" s="118" t="str">
        <f t="shared" si="3"/>
        <v/>
      </c>
      <c r="Q13" s="122" t="str">
        <f t="shared" si="4"/>
        <v/>
      </c>
      <c r="R13" s="93"/>
      <c r="S13" s="93"/>
      <c r="T13" s="96"/>
      <c r="U13" s="87" t="str">
        <f t="shared" si="5"/>
        <v/>
      </c>
      <c r="V13" s="97"/>
      <c r="Y13" s="218" t="str">
        <f t="shared" si="6"/>
        <v/>
      </c>
    </row>
    <row r="14" spans="1:26" x14ac:dyDescent="0.3">
      <c r="A14" s="4">
        <v>4</v>
      </c>
      <c r="B14" s="85"/>
      <c r="C14" s="76"/>
      <c r="D14" s="77"/>
      <c r="E14" s="78"/>
      <c r="F14" s="79"/>
      <c r="G14" s="80"/>
      <c r="H14" s="85"/>
      <c r="I14" s="81" t="str">
        <f t="shared" si="0"/>
        <v/>
      </c>
      <c r="J14" s="82" t="str">
        <f t="shared" si="1"/>
        <v/>
      </c>
      <c r="K14" s="83"/>
      <c r="L14" s="84"/>
      <c r="M14" s="118" t="str">
        <f t="shared" si="2"/>
        <v/>
      </c>
      <c r="N14" s="85"/>
      <c r="O14" s="85"/>
      <c r="P14" s="118" t="str">
        <f t="shared" si="3"/>
        <v/>
      </c>
      <c r="Q14" s="122" t="str">
        <f t="shared" si="4"/>
        <v/>
      </c>
      <c r="R14" s="85"/>
      <c r="S14" s="85"/>
      <c r="T14" s="86"/>
      <c r="U14" s="87" t="str">
        <f t="shared" si="5"/>
        <v/>
      </c>
      <c r="V14" s="88"/>
      <c r="Y14" s="218" t="str">
        <f t="shared" si="6"/>
        <v/>
      </c>
    </row>
    <row r="15" spans="1:26" x14ac:dyDescent="0.3">
      <c r="A15" s="5">
        <v>5</v>
      </c>
      <c r="B15" s="93"/>
      <c r="C15" s="89"/>
      <c r="D15" s="90"/>
      <c r="E15" s="91"/>
      <c r="F15" s="92"/>
      <c r="G15" s="67"/>
      <c r="H15" s="93"/>
      <c r="I15" s="81" t="str">
        <f t="shared" si="0"/>
        <v/>
      </c>
      <c r="J15" s="82" t="str">
        <f t="shared" si="1"/>
        <v/>
      </c>
      <c r="K15" s="94"/>
      <c r="L15" s="95"/>
      <c r="M15" s="118" t="str">
        <f t="shared" si="2"/>
        <v/>
      </c>
      <c r="N15" s="93"/>
      <c r="O15" s="93"/>
      <c r="P15" s="118" t="str">
        <f t="shared" si="3"/>
        <v/>
      </c>
      <c r="Q15" s="122" t="str">
        <f t="shared" si="4"/>
        <v/>
      </c>
      <c r="R15" s="93"/>
      <c r="S15" s="93"/>
      <c r="T15" s="96"/>
      <c r="U15" s="87" t="str">
        <f t="shared" si="5"/>
        <v/>
      </c>
      <c r="V15" s="97"/>
      <c r="Y15" s="218" t="str">
        <f t="shared" si="6"/>
        <v/>
      </c>
    </row>
    <row r="16" spans="1:26" x14ac:dyDescent="0.3">
      <c r="A16" s="4">
        <v>6</v>
      </c>
      <c r="B16" s="85"/>
      <c r="C16" s="76"/>
      <c r="D16" s="77"/>
      <c r="E16" s="78"/>
      <c r="F16" s="79"/>
      <c r="G16" s="80"/>
      <c r="H16" s="85"/>
      <c r="I16" s="81" t="str">
        <f t="shared" si="0"/>
        <v/>
      </c>
      <c r="J16" s="82" t="str">
        <f t="shared" si="1"/>
        <v/>
      </c>
      <c r="K16" s="83"/>
      <c r="L16" s="84"/>
      <c r="M16" s="118" t="str">
        <f t="shared" si="2"/>
        <v/>
      </c>
      <c r="N16" s="85"/>
      <c r="O16" s="85"/>
      <c r="P16" s="118" t="str">
        <f t="shared" si="3"/>
        <v/>
      </c>
      <c r="Q16" s="122" t="str">
        <f t="shared" si="4"/>
        <v/>
      </c>
      <c r="R16" s="85"/>
      <c r="S16" s="85"/>
      <c r="T16" s="86"/>
      <c r="U16" s="87" t="str">
        <f t="shared" si="5"/>
        <v/>
      </c>
      <c r="V16" s="88"/>
      <c r="Y16" s="218" t="str">
        <f t="shared" si="6"/>
        <v/>
      </c>
    </row>
    <row r="17" spans="1:25" x14ac:dyDescent="0.3">
      <c r="A17" s="5">
        <v>7</v>
      </c>
      <c r="B17" s="93"/>
      <c r="C17" s="89"/>
      <c r="D17" s="90"/>
      <c r="E17" s="91"/>
      <c r="F17" s="92"/>
      <c r="G17" s="67"/>
      <c r="H17" s="93"/>
      <c r="I17" s="81" t="str">
        <f t="shared" si="0"/>
        <v/>
      </c>
      <c r="J17" s="82" t="str">
        <f t="shared" si="1"/>
        <v/>
      </c>
      <c r="K17" s="94"/>
      <c r="L17" s="95"/>
      <c r="M17" s="118" t="str">
        <f t="shared" si="2"/>
        <v/>
      </c>
      <c r="N17" s="93"/>
      <c r="O17" s="93"/>
      <c r="P17" s="118" t="str">
        <f t="shared" si="3"/>
        <v/>
      </c>
      <c r="Q17" s="122" t="str">
        <f t="shared" si="4"/>
        <v/>
      </c>
      <c r="R17" s="93"/>
      <c r="S17" s="93"/>
      <c r="T17" s="96"/>
      <c r="U17" s="87" t="str">
        <f t="shared" si="5"/>
        <v/>
      </c>
      <c r="V17" s="97"/>
      <c r="Y17" s="218" t="str">
        <f t="shared" si="6"/>
        <v/>
      </c>
    </row>
    <row r="18" spans="1:25" x14ac:dyDescent="0.3">
      <c r="A18" s="4">
        <v>8</v>
      </c>
      <c r="B18" s="85"/>
      <c r="C18" s="76"/>
      <c r="D18" s="77"/>
      <c r="E18" s="78"/>
      <c r="F18" s="79"/>
      <c r="G18" s="80"/>
      <c r="H18" s="85"/>
      <c r="I18" s="81" t="str">
        <f t="shared" si="0"/>
        <v/>
      </c>
      <c r="J18" s="82" t="str">
        <f t="shared" si="1"/>
        <v/>
      </c>
      <c r="K18" s="83"/>
      <c r="L18" s="84"/>
      <c r="M18" s="118" t="str">
        <f t="shared" si="2"/>
        <v/>
      </c>
      <c r="N18" s="85"/>
      <c r="O18" s="85"/>
      <c r="P18" s="118" t="str">
        <f t="shared" si="3"/>
        <v/>
      </c>
      <c r="Q18" s="122" t="str">
        <f t="shared" si="4"/>
        <v/>
      </c>
      <c r="R18" s="85"/>
      <c r="S18" s="85"/>
      <c r="T18" s="86"/>
      <c r="U18" s="87" t="str">
        <f t="shared" si="5"/>
        <v/>
      </c>
      <c r="V18" s="88"/>
      <c r="Y18" s="218" t="str">
        <f t="shared" si="6"/>
        <v/>
      </c>
    </row>
    <row r="19" spans="1:25" x14ac:dyDescent="0.3">
      <c r="A19" s="5">
        <v>9</v>
      </c>
      <c r="B19" s="93"/>
      <c r="C19" s="89"/>
      <c r="D19" s="90"/>
      <c r="E19" s="91"/>
      <c r="F19" s="92"/>
      <c r="G19" s="67"/>
      <c r="H19" s="93"/>
      <c r="I19" s="81" t="str">
        <f t="shared" si="0"/>
        <v/>
      </c>
      <c r="J19" s="82" t="str">
        <f t="shared" si="1"/>
        <v/>
      </c>
      <c r="K19" s="94"/>
      <c r="L19" s="95"/>
      <c r="M19" s="118" t="str">
        <f t="shared" si="2"/>
        <v/>
      </c>
      <c r="N19" s="93"/>
      <c r="O19" s="93"/>
      <c r="P19" s="118" t="str">
        <f t="shared" si="3"/>
        <v/>
      </c>
      <c r="Q19" s="122" t="str">
        <f t="shared" si="4"/>
        <v/>
      </c>
      <c r="R19" s="93"/>
      <c r="S19" s="93"/>
      <c r="T19" s="96"/>
      <c r="U19" s="87" t="str">
        <f t="shared" si="5"/>
        <v/>
      </c>
      <c r="V19" s="97"/>
      <c r="Y19" s="218" t="str">
        <f t="shared" si="6"/>
        <v/>
      </c>
    </row>
    <row r="20" spans="1:25" x14ac:dyDescent="0.3">
      <c r="A20" s="4">
        <v>10</v>
      </c>
      <c r="B20" s="85"/>
      <c r="C20" s="76"/>
      <c r="D20" s="77"/>
      <c r="E20" s="78"/>
      <c r="F20" s="79"/>
      <c r="G20" s="80"/>
      <c r="H20" s="85"/>
      <c r="I20" s="81" t="str">
        <f t="shared" si="0"/>
        <v/>
      </c>
      <c r="J20" s="82" t="str">
        <f t="shared" si="1"/>
        <v/>
      </c>
      <c r="K20" s="83"/>
      <c r="L20" s="84"/>
      <c r="M20" s="118" t="str">
        <f t="shared" si="2"/>
        <v/>
      </c>
      <c r="N20" s="85"/>
      <c r="O20" s="85"/>
      <c r="P20" s="118" t="str">
        <f t="shared" si="3"/>
        <v/>
      </c>
      <c r="Q20" s="122" t="str">
        <f t="shared" si="4"/>
        <v/>
      </c>
      <c r="R20" s="85"/>
      <c r="S20" s="85"/>
      <c r="T20" s="86"/>
      <c r="U20" s="87" t="str">
        <f t="shared" si="5"/>
        <v/>
      </c>
      <c r="V20" s="88"/>
      <c r="Y20" s="218" t="str">
        <f t="shared" si="6"/>
        <v/>
      </c>
    </row>
    <row r="21" spans="1:25" x14ac:dyDescent="0.3">
      <c r="A21" s="5">
        <v>11</v>
      </c>
      <c r="B21" s="93"/>
      <c r="C21" s="89"/>
      <c r="D21" s="90"/>
      <c r="E21" s="91"/>
      <c r="F21" s="92"/>
      <c r="G21" s="67"/>
      <c r="H21" s="93"/>
      <c r="I21" s="81" t="str">
        <f t="shared" si="0"/>
        <v/>
      </c>
      <c r="J21" s="82" t="str">
        <f t="shared" si="1"/>
        <v/>
      </c>
      <c r="K21" s="94"/>
      <c r="L21" s="95"/>
      <c r="M21" s="118" t="str">
        <f t="shared" si="2"/>
        <v/>
      </c>
      <c r="N21" s="93"/>
      <c r="O21" s="93"/>
      <c r="P21" s="118" t="str">
        <f t="shared" si="3"/>
        <v/>
      </c>
      <c r="Q21" s="122" t="str">
        <f t="shared" si="4"/>
        <v/>
      </c>
      <c r="R21" s="93"/>
      <c r="S21" s="93"/>
      <c r="T21" s="96"/>
      <c r="U21" s="87" t="str">
        <f t="shared" si="5"/>
        <v/>
      </c>
      <c r="V21" s="97"/>
      <c r="Y21" s="218" t="str">
        <f t="shared" si="6"/>
        <v/>
      </c>
    </row>
    <row r="22" spans="1:25" x14ac:dyDescent="0.3">
      <c r="A22" s="4">
        <v>12</v>
      </c>
      <c r="B22" s="85"/>
      <c r="C22" s="76"/>
      <c r="D22" s="77"/>
      <c r="E22" s="78"/>
      <c r="F22" s="79"/>
      <c r="G22" s="80"/>
      <c r="H22" s="85"/>
      <c r="I22" s="81" t="str">
        <f t="shared" si="0"/>
        <v/>
      </c>
      <c r="J22" s="82" t="str">
        <f t="shared" si="1"/>
        <v/>
      </c>
      <c r="K22" s="83"/>
      <c r="L22" s="84"/>
      <c r="M22" s="118" t="str">
        <f t="shared" si="2"/>
        <v/>
      </c>
      <c r="N22" s="85"/>
      <c r="O22" s="85"/>
      <c r="P22" s="118" t="str">
        <f t="shared" si="3"/>
        <v/>
      </c>
      <c r="Q22" s="122" t="str">
        <f t="shared" si="4"/>
        <v/>
      </c>
      <c r="R22" s="85"/>
      <c r="S22" s="85"/>
      <c r="T22" s="86"/>
      <c r="U22" s="87" t="str">
        <f t="shared" si="5"/>
        <v/>
      </c>
      <c r="V22" s="88"/>
      <c r="Y22" s="218" t="str">
        <f t="shared" si="6"/>
        <v/>
      </c>
    </row>
    <row r="23" spans="1:25" x14ac:dyDescent="0.3">
      <c r="A23" s="5">
        <v>13</v>
      </c>
      <c r="B23" s="93"/>
      <c r="C23" s="89"/>
      <c r="D23" s="90"/>
      <c r="E23" s="91"/>
      <c r="F23" s="92"/>
      <c r="G23" s="67"/>
      <c r="H23" s="93"/>
      <c r="I23" s="81" t="str">
        <f t="shared" si="0"/>
        <v/>
      </c>
      <c r="J23" s="82" t="str">
        <f t="shared" si="1"/>
        <v/>
      </c>
      <c r="K23" s="94"/>
      <c r="L23" s="95"/>
      <c r="M23" s="118" t="str">
        <f t="shared" si="2"/>
        <v/>
      </c>
      <c r="N23" s="93"/>
      <c r="O23" s="93"/>
      <c r="P23" s="118" t="str">
        <f t="shared" si="3"/>
        <v/>
      </c>
      <c r="Q23" s="122" t="str">
        <f t="shared" si="4"/>
        <v/>
      </c>
      <c r="R23" s="93"/>
      <c r="S23" s="93"/>
      <c r="T23" s="96"/>
      <c r="U23" s="87" t="str">
        <f t="shared" si="5"/>
        <v/>
      </c>
      <c r="V23" s="97"/>
      <c r="Y23" s="218" t="str">
        <f t="shared" si="6"/>
        <v/>
      </c>
    </row>
    <row r="24" spans="1:25" x14ac:dyDescent="0.3">
      <c r="A24" s="4">
        <v>14</v>
      </c>
      <c r="B24" s="85"/>
      <c r="C24" s="76"/>
      <c r="D24" s="77"/>
      <c r="E24" s="78"/>
      <c r="F24" s="79"/>
      <c r="G24" s="80"/>
      <c r="H24" s="85"/>
      <c r="I24" s="81" t="str">
        <f t="shared" si="0"/>
        <v/>
      </c>
      <c r="J24" s="82" t="str">
        <f t="shared" si="1"/>
        <v/>
      </c>
      <c r="K24" s="83"/>
      <c r="L24" s="84"/>
      <c r="M24" s="118" t="str">
        <f t="shared" si="2"/>
        <v/>
      </c>
      <c r="N24" s="85"/>
      <c r="O24" s="85"/>
      <c r="P24" s="118" t="str">
        <f t="shared" si="3"/>
        <v/>
      </c>
      <c r="Q24" s="122" t="str">
        <f t="shared" si="4"/>
        <v/>
      </c>
      <c r="R24" s="85"/>
      <c r="S24" s="85"/>
      <c r="T24" s="86"/>
      <c r="U24" s="87" t="str">
        <f t="shared" si="5"/>
        <v/>
      </c>
      <c r="V24" s="88"/>
      <c r="Y24" s="218" t="str">
        <f t="shared" si="6"/>
        <v/>
      </c>
    </row>
    <row r="25" spans="1:25" x14ac:dyDescent="0.3">
      <c r="A25" s="5">
        <v>15</v>
      </c>
      <c r="B25" s="93"/>
      <c r="C25" s="89"/>
      <c r="D25" s="90"/>
      <c r="E25" s="91"/>
      <c r="F25" s="92"/>
      <c r="G25" s="67"/>
      <c r="H25" s="93"/>
      <c r="I25" s="81" t="str">
        <f t="shared" si="0"/>
        <v/>
      </c>
      <c r="J25" s="82" t="str">
        <f t="shared" si="1"/>
        <v/>
      </c>
      <c r="K25" s="94"/>
      <c r="L25" s="95"/>
      <c r="M25" s="118" t="str">
        <f t="shared" si="2"/>
        <v/>
      </c>
      <c r="N25" s="93"/>
      <c r="O25" s="93"/>
      <c r="P25" s="118" t="str">
        <f t="shared" si="3"/>
        <v/>
      </c>
      <c r="Q25" s="122" t="str">
        <f t="shared" si="4"/>
        <v/>
      </c>
      <c r="R25" s="93"/>
      <c r="S25" s="93"/>
      <c r="T25" s="96"/>
      <c r="U25" s="87" t="str">
        <f t="shared" si="5"/>
        <v/>
      </c>
      <c r="V25" s="97"/>
      <c r="Y25" s="218" t="str">
        <f t="shared" si="6"/>
        <v/>
      </c>
    </row>
    <row r="26" spans="1:25" x14ac:dyDescent="0.3">
      <c r="A26" s="4">
        <v>16</v>
      </c>
      <c r="B26" s="85"/>
      <c r="C26" s="76"/>
      <c r="D26" s="77"/>
      <c r="E26" s="78"/>
      <c r="F26" s="79"/>
      <c r="G26" s="80"/>
      <c r="H26" s="85"/>
      <c r="I26" s="81" t="str">
        <f t="shared" si="0"/>
        <v/>
      </c>
      <c r="J26" s="82" t="str">
        <f t="shared" si="1"/>
        <v/>
      </c>
      <c r="K26" s="83"/>
      <c r="L26" s="84"/>
      <c r="M26" s="118" t="str">
        <f t="shared" si="2"/>
        <v/>
      </c>
      <c r="N26" s="85"/>
      <c r="O26" s="85"/>
      <c r="P26" s="118" t="str">
        <f t="shared" si="3"/>
        <v/>
      </c>
      <c r="Q26" s="122" t="str">
        <f t="shared" si="4"/>
        <v/>
      </c>
      <c r="R26" s="85"/>
      <c r="S26" s="85"/>
      <c r="T26" s="86"/>
      <c r="U26" s="87" t="str">
        <f t="shared" si="5"/>
        <v/>
      </c>
      <c r="V26" s="88"/>
      <c r="Y26" s="218" t="str">
        <f t="shared" si="6"/>
        <v/>
      </c>
    </row>
    <row r="27" spans="1:25" x14ac:dyDescent="0.3">
      <c r="A27" s="5">
        <v>17</v>
      </c>
      <c r="B27" s="93"/>
      <c r="C27" s="89"/>
      <c r="D27" s="90"/>
      <c r="E27" s="91"/>
      <c r="F27" s="92"/>
      <c r="G27" s="67"/>
      <c r="H27" s="93"/>
      <c r="I27" s="81" t="str">
        <f t="shared" si="0"/>
        <v/>
      </c>
      <c r="J27" s="82" t="str">
        <f t="shared" si="1"/>
        <v/>
      </c>
      <c r="K27" s="94"/>
      <c r="L27" s="95"/>
      <c r="M27" s="118" t="str">
        <f t="shared" si="2"/>
        <v/>
      </c>
      <c r="N27" s="93"/>
      <c r="O27" s="93"/>
      <c r="P27" s="118" t="str">
        <f t="shared" si="3"/>
        <v/>
      </c>
      <c r="Q27" s="122" t="str">
        <f t="shared" si="4"/>
        <v/>
      </c>
      <c r="R27" s="93"/>
      <c r="S27" s="93"/>
      <c r="T27" s="96"/>
      <c r="U27" s="87" t="str">
        <f t="shared" si="5"/>
        <v/>
      </c>
      <c r="V27" s="97"/>
      <c r="Y27" s="218" t="str">
        <f t="shared" si="6"/>
        <v/>
      </c>
    </row>
    <row r="28" spans="1:25" x14ac:dyDescent="0.3">
      <c r="A28" s="4">
        <v>18</v>
      </c>
      <c r="B28" s="85"/>
      <c r="C28" s="76"/>
      <c r="D28" s="77"/>
      <c r="E28" s="78"/>
      <c r="F28" s="79"/>
      <c r="G28" s="80"/>
      <c r="H28" s="85"/>
      <c r="I28" s="81" t="str">
        <f t="shared" si="0"/>
        <v/>
      </c>
      <c r="J28" s="82" t="str">
        <f t="shared" si="1"/>
        <v/>
      </c>
      <c r="K28" s="83"/>
      <c r="L28" s="84"/>
      <c r="M28" s="118" t="str">
        <f t="shared" si="2"/>
        <v/>
      </c>
      <c r="N28" s="85"/>
      <c r="O28" s="85"/>
      <c r="P28" s="118" t="str">
        <f t="shared" si="3"/>
        <v/>
      </c>
      <c r="Q28" s="122" t="str">
        <f t="shared" si="4"/>
        <v/>
      </c>
      <c r="R28" s="85"/>
      <c r="S28" s="85"/>
      <c r="T28" s="86"/>
      <c r="U28" s="87" t="str">
        <f t="shared" si="5"/>
        <v/>
      </c>
      <c r="V28" s="88"/>
      <c r="Y28" s="218" t="str">
        <f t="shared" si="6"/>
        <v/>
      </c>
    </row>
    <row r="29" spans="1:25" x14ac:dyDescent="0.3">
      <c r="A29" s="5">
        <v>19</v>
      </c>
      <c r="B29" s="93"/>
      <c r="C29" s="89"/>
      <c r="D29" s="90"/>
      <c r="E29" s="91"/>
      <c r="F29" s="92"/>
      <c r="G29" s="67"/>
      <c r="H29" s="93"/>
      <c r="I29" s="81" t="str">
        <f t="shared" si="0"/>
        <v/>
      </c>
      <c r="J29" s="82" t="str">
        <f t="shared" si="1"/>
        <v/>
      </c>
      <c r="K29" s="94"/>
      <c r="L29" s="95"/>
      <c r="M29" s="118" t="str">
        <f t="shared" si="2"/>
        <v/>
      </c>
      <c r="N29" s="93"/>
      <c r="O29" s="93"/>
      <c r="P29" s="118" t="str">
        <f t="shared" si="3"/>
        <v/>
      </c>
      <c r="Q29" s="122" t="str">
        <f t="shared" si="4"/>
        <v/>
      </c>
      <c r="R29" s="93"/>
      <c r="S29" s="93"/>
      <c r="T29" s="96"/>
      <c r="U29" s="87" t="str">
        <f t="shared" si="5"/>
        <v/>
      </c>
      <c r="V29" s="97"/>
      <c r="Y29" s="218" t="str">
        <f t="shared" si="6"/>
        <v/>
      </c>
    </row>
    <row r="30" spans="1:25" x14ac:dyDescent="0.3">
      <c r="A30" s="4">
        <v>20</v>
      </c>
      <c r="B30" s="85"/>
      <c r="C30" s="76"/>
      <c r="D30" s="77"/>
      <c r="E30" s="78"/>
      <c r="F30" s="79"/>
      <c r="G30" s="80"/>
      <c r="H30" s="85"/>
      <c r="I30" s="81" t="str">
        <f t="shared" si="0"/>
        <v/>
      </c>
      <c r="J30" s="82" t="str">
        <f t="shared" si="1"/>
        <v/>
      </c>
      <c r="K30" s="83"/>
      <c r="L30" s="84"/>
      <c r="M30" s="118" t="str">
        <f t="shared" si="2"/>
        <v/>
      </c>
      <c r="N30" s="85"/>
      <c r="O30" s="85"/>
      <c r="P30" s="118" t="str">
        <f t="shared" si="3"/>
        <v/>
      </c>
      <c r="Q30" s="122" t="str">
        <f t="shared" si="4"/>
        <v/>
      </c>
      <c r="R30" s="85"/>
      <c r="S30" s="85"/>
      <c r="T30" s="86"/>
      <c r="U30" s="87" t="str">
        <f t="shared" si="5"/>
        <v/>
      </c>
      <c r="V30" s="88"/>
      <c r="Y30" s="218" t="str">
        <f t="shared" si="6"/>
        <v/>
      </c>
    </row>
    <row r="31" spans="1:25" x14ac:dyDescent="0.3">
      <c r="A31" s="5">
        <v>21</v>
      </c>
      <c r="B31" s="93"/>
      <c r="C31" s="89"/>
      <c r="D31" s="90"/>
      <c r="E31" s="91"/>
      <c r="F31" s="92"/>
      <c r="G31" s="67"/>
      <c r="H31" s="93"/>
      <c r="I31" s="81" t="str">
        <f t="shared" si="0"/>
        <v/>
      </c>
      <c r="J31" s="82" t="str">
        <f t="shared" si="1"/>
        <v/>
      </c>
      <c r="K31" s="94"/>
      <c r="L31" s="95"/>
      <c r="M31" s="118" t="str">
        <f t="shared" si="2"/>
        <v/>
      </c>
      <c r="N31" s="93"/>
      <c r="O31" s="93"/>
      <c r="P31" s="118" t="str">
        <f t="shared" si="3"/>
        <v/>
      </c>
      <c r="Q31" s="122" t="str">
        <f t="shared" si="4"/>
        <v/>
      </c>
      <c r="R31" s="93"/>
      <c r="S31" s="93"/>
      <c r="T31" s="96"/>
      <c r="U31" s="87" t="str">
        <f t="shared" si="5"/>
        <v/>
      </c>
      <c r="V31" s="97"/>
      <c r="Y31" s="218" t="str">
        <f t="shared" si="6"/>
        <v/>
      </c>
    </row>
    <row r="32" spans="1:25" x14ac:dyDescent="0.3">
      <c r="A32" s="4">
        <v>22</v>
      </c>
      <c r="B32" s="85"/>
      <c r="C32" s="76"/>
      <c r="D32" s="77"/>
      <c r="E32" s="78"/>
      <c r="F32" s="79"/>
      <c r="G32" s="80"/>
      <c r="H32" s="85"/>
      <c r="I32" s="81" t="str">
        <f t="shared" si="0"/>
        <v/>
      </c>
      <c r="J32" s="82" t="str">
        <f t="shared" si="1"/>
        <v/>
      </c>
      <c r="K32" s="83"/>
      <c r="L32" s="84"/>
      <c r="M32" s="118" t="str">
        <f t="shared" si="2"/>
        <v/>
      </c>
      <c r="N32" s="85"/>
      <c r="O32" s="85"/>
      <c r="P32" s="118" t="str">
        <f t="shared" si="3"/>
        <v/>
      </c>
      <c r="Q32" s="122" t="str">
        <f t="shared" si="4"/>
        <v/>
      </c>
      <c r="R32" s="85"/>
      <c r="S32" s="85"/>
      <c r="T32" s="86"/>
      <c r="U32" s="87" t="str">
        <f t="shared" si="5"/>
        <v/>
      </c>
      <c r="V32" s="88"/>
      <c r="Y32" s="218" t="str">
        <f t="shared" si="6"/>
        <v/>
      </c>
    </row>
    <row r="33" spans="1:25" x14ac:dyDescent="0.3">
      <c r="A33" s="5">
        <v>23</v>
      </c>
      <c r="B33" s="93"/>
      <c r="C33" s="89"/>
      <c r="D33" s="90"/>
      <c r="E33" s="91"/>
      <c r="F33" s="92"/>
      <c r="G33" s="67"/>
      <c r="H33" s="93"/>
      <c r="I33" s="81" t="str">
        <f t="shared" si="0"/>
        <v/>
      </c>
      <c r="J33" s="82" t="str">
        <f t="shared" si="1"/>
        <v/>
      </c>
      <c r="K33" s="94"/>
      <c r="L33" s="95"/>
      <c r="M33" s="118" t="str">
        <f t="shared" si="2"/>
        <v/>
      </c>
      <c r="N33" s="93"/>
      <c r="O33" s="93"/>
      <c r="P33" s="118" t="str">
        <f t="shared" si="3"/>
        <v/>
      </c>
      <c r="Q33" s="122" t="str">
        <f t="shared" si="4"/>
        <v/>
      </c>
      <c r="R33" s="93"/>
      <c r="S33" s="93"/>
      <c r="T33" s="96"/>
      <c r="U33" s="87" t="str">
        <f t="shared" si="5"/>
        <v/>
      </c>
      <c r="V33" s="97"/>
      <c r="Y33" s="218" t="str">
        <f t="shared" si="6"/>
        <v/>
      </c>
    </row>
    <row r="34" spans="1:25" x14ac:dyDescent="0.3">
      <c r="A34" s="4">
        <v>24</v>
      </c>
      <c r="B34" s="85"/>
      <c r="C34" s="76"/>
      <c r="D34" s="77"/>
      <c r="E34" s="78"/>
      <c r="F34" s="79"/>
      <c r="G34" s="80"/>
      <c r="H34" s="85"/>
      <c r="I34" s="81" t="str">
        <f t="shared" si="0"/>
        <v/>
      </c>
      <c r="J34" s="82" t="str">
        <f t="shared" si="1"/>
        <v/>
      </c>
      <c r="K34" s="83"/>
      <c r="L34" s="84"/>
      <c r="M34" s="118" t="str">
        <f t="shared" si="2"/>
        <v/>
      </c>
      <c r="N34" s="85"/>
      <c r="O34" s="85"/>
      <c r="P34" s="118" t="str">
        <f t="shared" si="3"/>
        <v/>
      </c>
      <c r="Q34" s="122" t="str">
        <f t="shared" si="4"/>
        <v/>
      </c>
      <c r="R34" s="85"/>
      <c r="S34" s="85"/>
      <c r="T34" s="86"/>
      <c r="U34" s="87" t="str">
        <f t="shared" si="5"/>
        <v/>
      </c>
      <c r="V34" s="88"/>
      <c r="Y34" s="218" t="str">
        <f t="shared" si="6"/>
        <v/>
      </c>
    </row>
    <row r="35" spans="1:25" x14ac:dyDescent="0.3">
      <c r="A35" s="5">
        <v>25</v>
      </c>
      <c r="B35" s="93"/>
      <c r="C35" s="89"/>
      <c r="D35" s="90"/>
      <c r="E35" s="91"/>
      <c r="F35" s="92"/>
      <c r="G35" s="67"/>
      <c r="H35" s="93"/>
      <c r="I35" s="81" t="str">
        <f t="shared" si="0"/>
        <v/>
      </c>
      <c r="J35" s="82" t="str">
        <f t="shared" si="1"/>
        <v/>
      </c>
      <c r="K35" s="94"/>
      <c r="L35" s="95"/>
      <c r="M35" s="118" t="str">
        <f t="shared" si="2"/>
        <v/>
      </c>
      <c r="N35" s="93"/>
      <c r="O35" s="93"/>
      <c r="P35" s="118" t="str">
        <f t="shared" si="3"/>
        <v/>
      </c>
      <c r="Q35" s="122" t="str">
        <f t="shared" si="4"/>
        <v/>
      </c>
      <c r="R35" s="93"/>
      <c r="S35" s="93"/>
      <c r="T35" s="96"/>
      <c r="U35" s="87" t="str">
        <f t="shared" si="5"/>
        <v/>
      </c>
      <c r="V35" s="97"/>
      <c r="Y35" s="218" t="str">
        <f t="shared" si="6"/>
        <v/>
      </c>
    </row>
    <row r="36" spans="1:25" x14ac:dyDescent="0.3">
      <c r="A36" s="4">
        <v>26</v>
      </c>
      <c r="B36" s="85"/>
      <c r="C36" s="76"/>
      <c r="D36" s="77"/>
      <c r="E36" s="78"/>
      <c r="F36" s="79"/>
      <c r="G36" s="80"/>
      <c r="H36" s="85"/>
      <c r="I36" s="81" t="str">
        <f t="shared" si="0"/>
        <v/>
      </c>
      <c r="J36" s="82" t="str">
        <f t="shared" si="1"/>
        <v/>
      </c>
      <c r="K36" s="83"/>
      <c r="L36" s="84"/>
      <c r="M36" s="118" t="str">
        <f t="shared" si="2"/>
        <v/>
      </c>
      <c r="N36" s="85"/>
      <c r="O36" s="85"/>
      <c r="P36" s="118" t="str">
        <f t="shared" si="3"/>
        <v/>
      </c>
      <c r="Q36" s="122" t="str">
        <f t="shared" si="4"/>
        <v/>
      </c>
      <c r="R36" s="85"/>
      <c r="S36" s="85"/>
      <c r="T36" s="86"/>
      <c r="U36" s="87" t="str">
        <f t="shared" si="5"/>
        <v/>
      </c>
      <c r="V36" s="88"/>
      <c r="Y36" s="218" t="str">
        <f t="shared" si="6"/>
        <v/>
      </c>
    </row>
    <row r="37" spans="1:25" x14ac:dyDescent="0.3">
      <c r="A37" s="5">
        <v>27</v>
      </c>
      <c r="B37" s="93"/>
      <c r="C37" s="89"/>
      <c r="D37" s="90"/>
      <c r="E37" s="91"/>
      <c r="F37" s="92"/>
      <c r="G37" s="67"/>
      <c r="H37" s="93"/>
      <c r="I37" s="81" t="str">
        <f t="shared" si="0"/>
        <v/>
      </c>
      <c r="J37" s="82" t="str">
        <f t="shared" si="1"/>
        <v/>
      </c>
      <c r="K37" s="94"/>
      <c r="L37" s="95"/>
      <c r="M37" s="118" t="str">
        <f t="shared" si="2"/>
        <v/>
      </c>
      <c r="N37" s="93"/>
      <c r="O37" s="93"/>
      <c r="P37" s="118" t="str">
        <f t="shared" si="3"/>
        <v/>
      </c>
      <c r="Q37" s="122" t="str">
        <f t="shared" si="4"/>
        <v/>
      </c>
      <c r="R37" s="93"/>
      <c r="S37" s="93"/>
      <c r="T37" s="96"/>
      <c r="U37" s="87" t="str">
        <f t="shared" si="5"/>
        <v/>
      </c>
      <c r="V37" s="97"/>
      <c r="Y37" s="218" t="str">
        <f t="shared" si="6"/>
        <v/>
      </c>
    </row>
    <row r="38" spans="1:25" x14ac:dyDescent="0.3">
      <c r="A38" s="4">
        <v>28</v>
      </c>
      <c r="B38" s="85"/>
      <c r="C38" s="76"/>
      <c r="D38" s="77"/>
      <c r="E38" s="78"/>
      <c r="F38" s="79"/>
      <c r="G38" s="80"/>
      <c r="H38" s="85"/>
      <c r="I38" s="81" t="str">
        <f t="shared" si="0"/>
        <v/>
      </c>
      <c r="J38" s="82" t="str">
        <f t="shared" si="1"/>
        <v/>
      </c>
      <c r="K38" s="83"/>
      <c r="L38" s="84"/>
      <c r="M38" s="118" t="str">
        <f t="shared" si="2"/>
        <v/>
      </c>
      <c r="N38" s="85"/>
      <c r="O38" s="85"/>
      <c r="P38" s="118" t="str">
        <f t="shared" si="3"/>
        <v/>
      </c>
      <c r="Q38" s="122" t="str">
        <f t="shared" si="4"/>
        <v/>
      </c>
      <c r="R38" s="85"/>
      <c r="S38" s="85"/>
      <c r="T38" s="86"/>
      <c r="U38" s="87" t="str">
        <f t="shared" si="5"/>
        <v/>
      </c>
      <c r="V38" s="88"/>
      <c r="Y38" s="218" t="str">
        <f t="shared" si="6"/>
        <v/>
      </c>
    </row>
    <row r="39" spans="1:25" x14ac:dyDescent="0.3">
      <c r="A39" s="5">
        <v>29</v>
      </c>
      <c r="B39" s="93"/>
      <c r="C39" s="89"/>
      <c r="D39" s="90"/>
      <c r="E39" s="91"/>
      <c r="F39" s="92"/>
      <c r="G39" s="67"/>
      <c r="H39" s="93"/>
      <c r="I39" s="81" t="str">
        <f t="shared" si="0"/>
        <v/>
      </c>
      <c r="J39" s="82" t="str">
        <f t="shared" si="1"/>
        <v/>
      </c>
      <c r="K39" s="94"/>
      <c r="L39" s="95"/>
      <c r="M39" s="118" t="str">
        <f t="shared" si="2"/>
        <v/>
      </c>
      <c r="N39" s="93"/>
      <c r="O39" s="93"/>
      <c r="P39" s="118" t="str">
        <f t="shared" si="3"/>
        <v/>
      </c>
      <c r="Q39" s="122" t="str">
        <f t="shared" si="4"/>
        <v/>
      </c>
      <c r="R39" s="93"/>
      <c r="S39" s="93"/>
      <c r="T39" s="96"/>
      <c r="U39" s="87" t="str">
        <f t="shared" si="5"/>
        <v/>
      </c>
      <c r="V39" s="97"/>
      <c r="Y39" s="218" t="str">
        <f t="shared" si="6"/>
        <v/>
      </c>
    </row>
    <row r="40" spans="1:25" x14ac:dyDescent="0.3">
      <c r="A40" s="4">
        <v>30</v>
      </c>
      <c r="B40" s="85"/>
      <c r="C40" s="76"/>
      <c r="D40" s="77"/>
      <c r="E40" s="78"/>
      <c r="F40" s="79"/>
      <c r="G40" s="80"/>
      <c r="H40" s="85"/>
      <c r="I40" s="81" t="str">
        <f t="shared" si="0"/>
        <v/>
      </c>
      <c r="J40" s="82" t="str">
        <f t="shared" si="1"/>
        <v/>
      </c>
      <c r="K40" s="83"/>
      <c r="L40" s="84"/>
      <c r="M40" s="118" t="str">
        <f t="shared" si="2"/>
        <v/>
      </c>
      <c r="N40" s="85"/>
      <c r="O40" s="85"/>
      <c r="P40" s="118" t="str">
        <f t="shared" si="3"/>
        <v/>
      </c>
      <c r="Q40" s="122" t="str">
        <f t="shared" si="4"/>
        <v/>
      </c>
      <c r="R40" s="85"/>
      <c r="S40" s="85"/>
      <c r="T40" s="86"/>
      <c r="U40" s="87" t="str">
        <f t="shared" si="5"/>
        <v/>
      </c>
      <c r="V40" s="88"/>
      <c r="Y40" s="218" t="str">
        <f t="shared" si="6"/>
        <v/>
      </c>
    </row>
    <row r="41" spans="1:25" x14ac:dyDescent="0.3">
      <c r="A41" s="5">
        <v>31</v>
      </c>
      <c r="B41" s="93"/>
      <c r="C41" s="89"/>
      <c r="D41" s="90"/>
      <c r="E41" s="91"/>
      <c r="F41" s="92"/>
      <c r="G41" s="67"/>
      <c r="H41" s="93"/>
      <c r="I41" s="81" t="str">
        <f t="shared" si="0"/>
        <v/>
      </c>
      <c r="J41" s="82" t="str">
        <f t="shared" si="1"/>
        <v/>
      </c>
      <c r="K41" s="94"/>
      <c r="L41" s="95"/>
      <c r="M41" s="118" t="str">
        <f t="shared" si="2"/>
        <v/>
      </c>
      <c r="N41" s="93"/>
      <c r="O41" s="93"/>
      <c r="P41" s="118" t="str">
        <f t="shared" si="3"/>
        <v/>
      </c>
      <c r="Q41" s="122" t="str">
        <f t="shared" si="4"/>
        <v/>
      </c>
      <c r="R41" s="93"/>
      <c r="S41" s="93"/>
      <c r="T41" s="96"/>
      <c r="U41" s="87" t="str">
        <f t="shared" si="5"/>
        <v/>
      </c>
      <c r="V41" s="97"/>
      <c r="Y41" s="218" t="str">
        <f t="shared" si="6"/>
        <v/>
      </c>
    </row>
    <row r="42" spans="1:25" x14ac:dyDescent="0.3">
      <c r="A42" s="4">
        <v>32</v>
      </c>
      <c r="B42" s="85"/>
      <c r="C42" s="76"/>
      <c r="D42" s="77"/>
      <c r="E42" s="78"/>
      <c r="F42" s="79"/>
      <c r="G42" s="80"/>
      <c r="H42" s="85"/>
      <c r="I42" s="81" t="str">
        <f t="shared" si="0"/>
        <v/>
      </c>
      <c r="J42" s="82" t="str">
        <f t="shared" si="1"/>
        <v/>
      </c>
      <c r="K42" s="83"/>
      <c r="L42" s="84"/>
      <c r="M42" s="118" t="str">
        <f t="shared" si="2"/>
        <v/>
      </c>
      <c r="N42" s="85"/>
      <c r="O42" s="85"/>
      <c r="P42" s="118" t="str">
        <f t="shared" si="3"/>
        <v/>
      </c>
      <c r="Q42" s="122" t="str">
        <f t="shared" si="4"/>
        <v/>
      </c>
      <c r="R42" s="85"/>
      <c r="S42" s="85"/>
      <c r="T42" s="86"/>
      <c r="U42" s="87" t="str">
        <f t="shared" si="5"/>
        <v/>
      </c>
      <c r="V42" s="88"/>
      <c r="Y42" s="218" t="str">
        <f t="shared" si="6"/>
        <v/>
      </c>
    </row>
    <row r="43" spans="1:25" x14ac:dyDescent="0.3">
      <c r="A43" s="5">
        <v>33</v>
      </c>
      <c r="B43" s="93"/>
      <c r="C43" s="89"/>
      <c r="D43" s="90"/>
      <c r="E43" s="91"/>
      <c r="F43" s="92"/>
      <c r="G43" s="67"/>
      <c r="H43" s="93"/>
      <c r="I43" s="81" t="str">
        <f t="shared" si="0"/>
        <v/>
      </c>
      <c r="J43" s="82" t="str">
        <f t="shared" si="1"/>
        <v/>
      </c>
      <c r="K43" s="94"/>
      <c r="L43" s="95"/>
      <c r="M43" s="118" t="str">
        <f t="shared" si="2"/>
        <v/>
      </c>
      <c r="N43" s="93"/>
      <c r="O43" s="93"/>
      <c r="P43" s="118" t="str">
        <f t="shared" si="3"/>
        <v/>
      </c>
      <c r="Q43" s="122" t="str">
        <f t="shared" si="4"/>
        <v/>
      </c>
      <c r="R43" s="93"/>
      <c r="S43" s="93"/>
      <c r="T43" s="96"/>
      <c r="U43" s="87" t="str">
        <f t="shared" si="5"/>
        <v/>
      </c>
      <c r="V43" s="97"/>
      <c r="Y43" s="218" t="str">
        <f t="shared" si="6"/>
        <v/>
      </c>
    </row>
    <row r="44" spans="1:25" x14ac:dyDescent="0.3">
      <c r="A44" s="4">
        <v>34</v>
      </c>
      <c r="B44" s="85"/>
      <c r="C44" s="76"/>
      <c r="D44" s="77"/>
      <c r="E44" s="78"/>
      <c r="F44" s="79"/>
      <c r="G44" s="80"/>
      <c r="H44" s="85"/>
      <c r="I44" s="81" t="str">
        <f t="shared" si="0"/>
        <v/>
      </c>
      <c r="J44" s="82" t="str">
        <f t="shared" si="1"/>
        <v/>
      </c>
      <c r="K44" s="83"/>
      <c r="L44" s="84"/>
      <c r="M44" s="118" t="str">
        <f t="shared" si="2"/>
        <v/>
      </c>
      <c r="N44" s="85"/>
      <c r="O44" s="85"/>
      <c r="P44" s="118" t="str">
        <f t="shared" si="3"/>
        <v/>
      </c>
      <c r="Q44" s="122" t="str">
        <f t="shared" si="4"/>
        <v/>
      </c>
      <c r="R44" s="85"/>
      <c r="S44" s="85"/>
      <c r="T44" s="86"/>
      <c r="U44" s="87" t="str">
        <f t="shared" si="5"/>
        <v/>
      </c>
      <c r="V44" s="88"/>
      <c r="Y44" s="218" t="str">
        <f t="shared" si="6"/>
        <v/>
      </c>
    </row>
    <row r="45" spans="1:25" x14ac:dyDescent="0.3">
      <c r="A45" s="5">
        <v>35</v>
      </c>
      <c r="B45" s="93"/>
      <c r="C45" s="89"/>
      <c r="D45" s="90"/>
      <c r="E45" s="91"/>
      <c r="F45" s="92"/>
      <c r="G45" s="67"/>
      <c r="H45" s="93"/>
      <c r="I45" s="81" t="str">
        <f t="shared" si="0"/>
        <v/>
      </c>
      <c r="J45" s="82" t="str">
        <f t="shared" si="1"/>
        <v/>
      </c>
      <c r="K45" s="94"/>
      <c r="L45" s="95"/>
      <c r="M45" s="118" t="str">
        <f t="shared" si="2"/>
        <v/>
      </c>
      <c r="N45" s="93"/>
      <c r="O45" s="93"/>
      <c r="P45" s="118" t="str">
        <f t="shared" si="3"/>
        <v/>
      </c>
      <c r="Q45" s="122" t="str">
        <f t="shared" si="4"/>
        <v/>
      </c>
      <c r="R45" s="93"/>
      <c r="S45" s="93"/>
      <c r="T45" s="96"/>
      <c r="U45" s="87" t="str">
        <f t="shared" si="5"/>
        <v/>
      </c>
      <c r="V45" s="97"/>
      <c r="Y45" s="218" t="str">
        <f t="shared" si="6"/>
        <v/>
      </c>
    </row>
    <row r="46" spans="1:25" x14ac:dyDescent="0.3">
      <c r="A46" s="4">
        <v>36</v>
      </c>
      <c r="B46" s="85"/>
      <c r="C46" s="76"/>
      <c r="D46" s="77"/>
      <c r="E46" s="78"/>
      <c r="F46" s="79"/>
      <c r="G46" s="80"/>
      <c r="H46" s="85"/>
      <c r="I46" s="81" t="str">
        <f t="shared" si="0"/>
        <v/>
      </c>
      <c r="J46" s="82" t="str">
        <f t="shared" si="1"/>
        <v/>
      </c>
      <c r="K46" s="83"/>
      <c r="L46" s="84"/>
      <c r="M46" s="118" t="str">
        <f t="shared" si="2"/>
        <v/>
      </c>
      <c r="N46" s="85"/>
      <c r="O46" s="85"/>
      <c r="P46" s="118" t="str">
        <f t="shared" si="3"/>
        <v/>
      </c>
      <c r="Q46" s="122" t="str">
        <f t="shared" si="4"/>
        <v/>
      </c>
      <c r="R46" s="85"/>
      <c r="S46" s="85"/>
      <c r="T46" s="86"/>
      <c r="U46" s="87" t="str">
        <f t="shared" si="5"/>
        <v/>
      </c>
      <c r="V46" s="88"/>
      <c r="Y46" s="218" t="str">
        <f t="shared" si="6"/>
        <v/>
      </c>
    </row>
    <row r="47" spans="1:25" x14ac:dyDescent="0.3">
      <c r="A47" s="5">
        <v>37</v>
      </c>
      <c r="B47" s="93"/>
      <c r="C47" s="89"/>
      <c r="D47" s="90"/>
      <c r="E47" s="91"/>
      <c r="F47" s="92"/>
      <c r="G47" s="67"/>
      <c r="H47" s="93"/>
      <c r="I47" s="81" t="str">
        <f t="shared" si="0"/>
        <v/>
      </c>
      <c r="J47" s="82" t="str">
        <f t="shared" si="1"/>
        <v/>
      </c>
      <c r="K47" s="94"/>
      <c r="L47" s="95"/>
      <c r="M47" s="118" t="str">
        <f t="shared" si="2"/>
        <v/>
      </c>
      <c r="N47" s="93"/>
      <c r="O47" s="93"/>
      <c r="P47" s="118" t="str">
        <f t="shared" si="3"/>
        <v/>
      </c>
      <c r="Q47" s="122" t="str">
        <f t="shared" si="4"/>
        <v/>
      </c>
      <c r="R47" s="93"/>
      <c r="S47" s="93"/>
      <c r="T47" s="96"/>
      <c r="U47" s="87" t="str">
        <f t="shared" si="5"/>
        <v/>
      </c>
      <c r="V47" s="97"/>
      <c r="Y47" s="218" t="str">
        <f t="shared" si="6"/>
        <v/>
      </c>
    </row>
    <row r="48" spans="1:25" x14ac:dyDescent="0.3">
      <c r="A48" s="4">
        <v>38</v>
      </c>
      <c r="B48" s="85"/>
      <c r="C48" s="76"/>
      <c r="D48" s="77"/>
      <c r="E48" s="78"/>
      <c r="F48" s="79"/>
      <c r="G48" s="80"/>
      <c r="H48" s="85"/>
      <c r="I48" s="81" t="str">
        <f t="shared" si="0"/>
        <v/>
      </c>
      <c r="J48" s="82" t="str">
        <f t="shared" si="1"/>
        <v/>
      </c>
      <c r="K48" s="83"/>
      <c r="L48" s="84"/>
      <c r="M48" s="118" t="str">
        <f t="shared" si="2"/>
        <v/>
      </c>
      <c r="N48" s="85"/>
      <c r="O48" s="85"/>
      <c r="P48" s="118" t="str">
        <f t="shared" si="3"/>
        <v/>
      </c>
      <c r="Q48" s="122" t="str">
        <f t="shared" si="4"/>
        <v/>
      </c>
      <c r="R48" s="85"/>
      <c r="S48" s="85"/>
      <c r="T48" s="86"/>
      <c r="U48" s="87" t="str">
        <f t="shared" si="5"/>
        <v/>
      </c>
      <c r="V48" s="88"/>
      <c r="Y48" s="218" t="str">
        <f t="shared" si="6"/>
        <v/>
      </c>
    </row>
    <row r="49" spans="1:25" x14ac:dyDescent="0.3">
      <c r="A49" s="5">
        <v>39</v>
      </c>
      <c r="B49" s="93"/>
      <c r="C49" s="89"/>
      <c r="D49" s="90"/>
      <c r="E49" s="91"/>
      <c r="F49" s="92"/>
      <c r="G49" s="67"/>
      <c r="H49" s="93"/>
      <c r="I49" s="81" t="str">
        <f t="shared" si="0"/>
        <v/>
      </c>
      <c r="J49" s="82" t="str">
        <f t="shared" si="1"/>
        <v/>
      </c>
      <c r="K49" s="94"/>
      <c r="L49" s="95"/>
      <c r="M49" s="118" t="str">
        <f t="shared" si="2"/>
        <v/>
      </c>
      <c r="N49" s="93"/>
      <c r="O49" s="93"/>
      <c r="P49" s="118" t="str">
        <f t="shared" si="3"/>
        <v/>
      </c>
      <c r="Q49" s="122" t="str">
        <f t="shared" si="4"/>
        <v/>
      </c>
      <c r="R49" s="93"/>
      <c r="S49" s="93"/>
      <c r="T49" s="96"/>
      <c r="U49" s="87" t="str">
        <f t="shared" si="5"/>
        <v/>
      </c>
      <c r="V49" s="97"/>
      <c r="Y49" s="218" t="str">
        <f t="shared" si="6"/>
        <v/>
      </c>
    </row>
    <row r="50" spans="1:25" x14ac:dyDescent="0.3">
      <c r="A50" s="4">
        <v>40</v>
      </c>
      <c r="B50" s="85"/>
      <c r="C50" s="76"/>
      <c r="D50" s="77"/>
      <c r="E50" s="78"/>
      <c r="F50" s="79"/>
      <c r="G50" s="80"/>
      <c r="H50" s="85"/>
      <c r="I50" s="81" t="str">
        <f t="shared" si="0"/>
        <v/>
      </c>
      <c r="J50" s="82" t="str">
        <f t="shared" si="1"/>
        <v/>
      </c>
      <c r="K50" s="83"/>
      <c r="L50" s="84"/>
      <c r="M50" s="118" t="str">
        <f t="shared" si="2"/>
        <v/>
      </c>
      <c r="N50" s="85"/>
      <c r="O50" s="85"/>
      <c r="P50" s="118" t="str">
        <f t="shared" si="3"/>
        <v/>
      </c>
      <c r="Q50" s="122" t="str">
        <f t="shared" si="4"/>
        <v/>
      </c>
      <c r="R50" s="85"/>
      <c r="S50" s="85"/>
      <c r="T50" s="86"/>
      <c r="U50" s="87" t="str">
        <f t="shared" si="5"/>
        <v/>
      </c>
      <c r="V50" s="88"/>
      <c r="Y50" s="218" t="str">
        <f t="shared" si="6"/>
        <v/>
      </c>
    </row>
    <row r="51" spans="1:25" x14ac:dyDescent="0.3">
      <c r="A51" s="5">
        <v>41</v>
      </c>
      <c r="B51" s="93"/>
      <c r="C51" s="89"/>
      <c r="D51" s="90"/>
      <c r="E51" s="91"/>
      <c r="F51" s="92"/>
      <c r="G51" s="67"/>
      <c r="H51" s="93"/>
      <c r="I51" s="81" t="str">
        <f t="shared" si="0"/>
        <v/>
      </c>
      <c r="J51" s="82" t="str">
        <f t="shared" si="1"/>
        <v/>
      </c>
      <c r="K51" s="94"/>
      <c r="L51" s="95"/>
      <c r="M51" s="118" t="str">
        <f t="shared" si="2"/>
        <v/>
      </c>
      <c r="N51" s="93"/>
      <c r="O51" s="93"/>
      <c r="P51" s="118" t="str">
        <f t="shared" si="3"/>
        <v/>
      </c>
      <c r="Q51" s="122" t="str">
        <f t="shared" si="4"/>
        <v/>
      </c>
      <c r="R51" s="93"/>
      <c r="S51" s="93"/>
      <c r="T51" s="96"/>
      <c r="U51" s="87" t="str">
        <f t="shared" si="5"/>
        <v/>
      </c>
      <c r="V51" s="97"/>
      <c r="Y51" s="218" t="str">
        <f t="shared" si="6"/>
        <v/>
      </c>
    </row>
    <row r="52" spans="1:25" x14ac:dyDescent="0.3">
      <c r="A52" s="4">
        <v>42</v>
      </c>
      <c r="B52" s="85"/>
      <c r="C52" s="76"/>
      <c r="D52" s="77"/>
      <c r="E52" s="78"/>
      <c r="F52" s="79"/>
      <c r="G52" s="80"/>
      <c r="H52" s="85"/>
      <c r="I52" s="81" t="str">
        <f t="shared" si="0"/>
        <v/>
      </c>
      <c r="J52" s="82" t="str">
        <f t="shared" si="1"/>
        <v/>
      </c>
      <c r="K52" s="83"/>
      <c r="L52" s="84"/>
      <c r="M52" s="118" t="str">
        <f t="shared" si="2"/>
        <v/>
      </c>
      <c r="N52" s="85"/>
      <c r="O52" s="85"/>
      <c r="P52" s="118" t="str">
        <f t="shared" si="3"/>
        <v/>
      </c>
      <c r="Q52" s="122" t="str">
        <f t="shared" si="4"/>
        <v/>
      </c>
      <c r="R52" s="85"/>
      <c r="S52" s="85"/>
      <c r="T52" s="86"/>
      <c r="U52" s="87" t="str">
        <f t="shared" si="5"/>
        <v/>
      </c>
      <c r="V52" s="88"/>
      <c r="Y52" s="218" t="str">
        <f t="shared" si="6"/>
        <v/>
      </c>
    </row>
    <row r="53" spans="1:25" x14ac:dyDescent="0.3">
      <c r="A53" s="5">
        <v>43</v>
      </c>
      <c r="B53" s="93"/>
      <c r="C53" s="89"/>
      <c r="D53" s="90"/>
      <c r="E53" s="91"/>
      <c r="F53" s="92"/>
      <c r="G53" s="67"/>
      <c r="H53" s="93"/>
      <c r="I53" s="81" t="str">
        <f t="shared" si="0"/>
        <v/>
      </c>
      <c r="J53" s="82" t="str">
        <f t="shared" si="1"/>
        <v/>
      </c>
      <c r="K53" s="94"/>
      <c r="L53" s="95"/>
      <c r="M53" s="118" t="str">
        <f t="shared" si="2"/>
        <v/>
      </c>
      <c r="N53" s="93"/>
      <c r="O53" s="93"/>
      <c r="P53" s="118" t="str">
        <f t="shared" si="3"/>
        <v/>
      </c>
      <c r="Q53" s="122" t="str">
        <f t="shared" si="4"/>
        <v/>
      </c>
      <c r="R53" s="93"/>
      <c r="S53" s="93"/>
      <c r="T53" s="96"/>
      <c r="U53" s="87" t="str">
        <f t="shared" si="5"/>
        <v/>
      </c>
      <c r="V53" s="97"/>
      <c r="Y53" s="218" t="str">
        <f t="shared" si="6"/>
        <v/>
      </c>
    </row>
    <row r="54" spans="1:25" x14ac:dyDescent="0.3">
      <c r="A54" s="4">
        <v>44</v>
      </c>
      <c r="B54" s="85"/>
      <c r="C54" s="76"/>
      <c r="D54" s="77"/>
      <c r="E54" s="78"/>
      <c r="F54" s="79"/>
      <c r="G54" s="80"/>
      <c r="H54" s="85"/>
      <c r="I54" s="81" t="str">
        <f t="shared" si="0"/>
        <v/>
      </c>
      <c r="J54" s="82" t="str">
        <f t="shared" si="1"/>
        <v/>
      </c>
      <c r="K54" s="83"/>
      <c r="L54" s="84"/>
      <c r="M54" s="118" t="str">
        <f t="shared" si="2"/>
        <v/>
      </c>
      <c r="N54" s="85"/>
      <c r="O54" s="85"/>
      <c r="P54" s="118" t="str">
        <f t="shared" si="3"/>
        <v/>
      </c>
      <c r="Q54" s="122" t="str">
        <f t="shared" si="4"/>
        <v/>
      </c>
      <c r="R54" s="85"/>
      <c r="S54" s="85"/>
      <c r="T54" s="86"/>
      <c r="U54" s="87" t="str">
        <f t="shared" si="5"/>
        <v/>
      </c>
      <c r="V54" s="88"/>
      <c r="Y54" s="218" t="str">
        <f t="shared" si="6"/>
        <v/>
      </c>
    </row>
    <row r="55" spans="1:25" x14ac:dyDescent="0.3">
      <c r="A55" s="5">
        <v>45</v>
      </c>
      <c r="B55" s="93"/>
      <c r="C55" s="89"/>
      <c r="D55" s="90"/>
      <c r="E55" s="91"/>
      <c r="F55" s="92"/>
      <c r="G55" s="67"/>
      <c r="H55" s="93"/>
      <c r="I55" s="81" t="str">
        <f t="shared" si="0"/>
        <v/>
      </c>
      <c r="J55" s="82" t="str">
        <f t="shared" si="1"/>
        <v/>
      </c>
      <c r="K55" s="94"/>
      <c r="L55" s="95"/>
      <c r="M55" s="118" t="str">
        <f t="shared" si="2"/>
        <v/>
      </c>
      <c r="N55" s="93"/>
      <c r="O55" s="93"/>
      <c r="P55" s="118" t="str">
        <f t="shared" si="3"/>
        <v/>
      </c>
      <c r="Q55" s="122" t="str">
        <f t="shared" si="4"/>
        <v/>
      </c>
      <c r="R55" s="93"/>
      <c r="S55" s="93"/>
      <c r="T55" s="96"/>
      <c r="U55" s="87" t="str">
        <f t="shared" si="5"/>
        <v/>
      </c>
      <c r="V55" s="97"/>
      <c r="Y55" s="218" t="str">
        <f t="shared" si="6"/>
        <v/>
      </c>
    </row>
    <row r="56" spans="1:25" x14ac:dyDescent="0.3">
      <c r="A56" s="4">
        <v>46</v>
      </c>
      <c r="B56" s="85"/>
      <c r="C56" s="76"/>
      <c r="D56" s="77"/>
      <c r="E56" s="78"/>
      <c r="F56" s="79"/>
      <c r="G56" s="80"/>
      <c r="H56" s="85"/>
      <c r="I56" s="81" t="str">
        <f t="shared" si="0"/>
        <v/>
      </c>
      <c r="J56" s="82" t="str">
        <f t="shared" si="1"/>
        <v/>
      </c>
      <c r="K56" s="83"/>
      <c r="L56" s="84"/>
      <c r="M56" s="118" t="str">
        <f t="shared" si="2"/>
        <v/>
      </c>
      <c r="N56" s="85"/>
      <c r="O56" s="85"/>
      <c r="P56" s="118" t="str">
        <f t="shared" si="3"/>
        <v/>
      </c>
      <c r="Q56" s="122" t="str">
        <f t="shared" si="4"/>
        <v/>
      </c>
      <c r="R56" s="85"/>
      <c r="S56" s="85"/>
      <c r="T56" s="86"/>
      <c r="U56" s="87" t="str">
        <f t="shared" si="5"/>
        <v/>
      </c>
      <c r="V56" s="88"/>
      <c r="Y56" s="218" t="str">
        <f t="shared" si="6"/>
        <v/>
      </c>
    </row>
    <row r="57" spans="1:25" x14ac:dyDescent="0.3">
      <c r="A57" s="5">
        <v>47</v>
      </c>
      <c r="B57" s="93"/>
      <c r="C57" s="89"/>
      <c r="D57" s="90"/>
      <c r="E57" s="91"/>
      <c r="F57" s="92"/>
      <c r="G57" s="67"/>
      <c r="H57" s="93"/>
      <c r="I57" s="81" t="str">
        <f t="shared" si="0"/>
        <v/>
      </c>
      <c r="J57" s="82" t="str">
        <f t="shared" si="1"/>
        <v/>
      </c>
      <c r="K57" s="94"/>
      <c r="L57" s="95"/>
      <c r="M57" s="118" t="str">
        <f t="shared" si="2"/>
        <v/>
      </c>
      <c r="N57" s="93"/>
      <c r="O57" s="93"/>
      <c r="P57" s="118" t="str">
        <f t="shared" si="3"/>
        <v/>
      </c>
      <c r="Q57" s="122" t="str">
        <f t="shared" si="4"/>
        <v/>
      </c>
      <c r="R57" s="93"/>
      <c r="S57" s="93"/>
      <c r="T57" s="96"/>
      <c r="U57" s="87" t="str">
        <f t="shared" si="5"/>
        <v/>
      </c>
      <c r="V57" s="97"/>
      <c r="Y57" s="218" t="str">
        <f t="shared" si="6"/>
        <v/>
      </c>
    </row>
    <row r="58" spans="1:25" x14ac:dyDescent="0.3">
      <c r="A58" s="4">
        <v>48</v>
      </c>
      <c r="B58" s="85"/>
      <c r="C58" s="76"/>
      <c r="D58" s="77"/>
      <c r="E58" s="78"/>
      <c r="F58" s="79"/>
      <c r="G58" s="80"/>
      <c r="H58" s="85"/>
      <c r="I58" s="81" t="str">
        <f t="shared" si="0"/>
        <v/>
      </c>
      <c r="J58" s="82" t="str">
        <f t="shared" si="1"/>
        <v/>
      </c>
      <c r="K58" s="83"/>
      <c r="L58" s="84"/>
      <c r="M58" s="118" t="str">
        <f t="shared" si="2"/>
        <v/>
      </c>
      <c r="N58" s="85"/>
      <c r="O58" s="85"/>
      <c r="P58" s="118" t="str">
        <f t="shared" si="3"/>
        <v/>
      </c>
      <c r="Q58" s="122" t="str">
        <f t="shared" si="4"/>
        <v/>
      </c>
      <c r="R58" s="85"/>
      <c r="S58" s="85"/>
      <c r="T58" s="86"/>
      <c r="U58" s="87" t="str">
        <f t="shared" si="5"/>
        <v/>
      </c>
      <c r="V58" s="88"/>
      <c r="Y58" s="218" t="str">
        <f t="shared" si="6"/>
        <v/>
      </c>
    </row>
    <row r="59" spans="1:25" x14ac:dyDescent="0.3">
      <c r="A59" s="5">
        <v>49</v>
      </c>
      <c r="B59" s="93"/>
      <c r="C59" s="89"/>
      <c r="D59" s="90"/>
      <c r="E59" s="91"/>
      <c r="F59" s="92"/>
      <c r="G59" s="67"/>
      <c r="H59" s="93"/>
      <c r="I59" s="81" t="str">
        <f t="shared" si="0"/>
        <v/>
      </c>
      <c r="J59" s="82" t="str">
        <f t="shared" si="1"/>
        <v/>
      </c>
      <c r="K59" s="94"/>
      <c r="L59" s="95"/>
      <c r="M59" s="118" t="str">
        <f t="shared" si="2"/>
        <v/>
      </c>
      <c r="N59" s="93"/>
      <c r="O59" s="93"/>
      <c r="P59" s="118" t="str">
        <f t="shared" si="3"/>
        <v/>
      </c>
      <c r="Q59" s="122" t="str">
        <f t="shared" si="4"/>
        <v/>
      </c>
      <c r="R59" s="93"/>
      <c r="S59" s="93"/>
      <c r="T59" s="96"/>
      <c r="U59" s="87" t="str">
        <f t="shared" si="5"/>
        <v/>
      </c>
      <c r="V59" s="97"/>
      <c r="Y59" s="218" t="str">
        <f t="shared" si="6"/>
        <v/>
      </c>
    </row>
    <row r="60" spans="1:25" x14ac:dyDescent="0.3">
      <c r="A60" s="4">
        <v>50</v>
      </c>
      <c r="B60" s="85"/>
      <c r="C60" s="76"/>
      <c r="D60" s="77"/>
      <c r="E60" s="78"/>
      <c r="F60" s="79"/>
      <c r="G60" s="80"/>
      <c r="H60" s="85"/>
      <c r="I60" s="81" t="str">
        <f t="shared" si="0"/>
        <v/>
      </c>
      <c r="J60" s="82" t="str">
        <f t="shared" si="1"/>
        <v/>
      </c>
      <c r="K60" s="83"/>
      <c r="L60" s="84"/>
      <c r="M60" s="118" t="str">
        <f t="shared" si="2"/>
        <v/>
      </c>
      <c r="N60" s="85"/>
      <c r="O60" s="85"/>
      <c r="P60" s="118" t="str">
        <f t="shared" si="3"/>
        <v/>
      </c>
      <c r="Q60" s="122" t="str">
        <f t="shared" si="4"/>
        <v/>
      </c>
      <c r="R60" s="85"/>
      <c r="S60" s="85"/>
      <c r="T60" s="86"/>
      <c r="U60" s="87" t="str">
        <f t="shared" si="5"/>
        <v/>
      </c>
      <c r="V60" s="88"/>
      <c r="Y60" s="218" t="str">
        <f t="shared" si="6"/>
        <v/>
      </c>
    </row>
    <row r="61" spans="1:25" x14ac:dyDescent="0.3">
      <c r="A61" s="5">
        <v>51</v>
      </c>
      <c r="B61" s="93"/>
      <c r="C61" s="89"/>
      <c r="D61" s="90"/>
      <c r="E61" s="91"/>
      <c r="F61" s="92"/>
      <c r="G61" s="67"/>
      <c r="H61" s="93"/>
      <c r="I61" s="81" t="str">
        <f t="shared" si="0"/>
        <v/>
      </c>
      <c r="J61" s="82" t="str">
        <f t="shared" si="1"/>
        <v/>
      </c>
      <c r="K61" s="94"/>
      <c r="L61" s="95"/>
      <c r="M61" s="118" t="str">
        <f t="shared" si="2"/>
        <v/>
      </c>
      <c r="N61" s="93"/>
      <c r="O61" s="93"/>
      <c r="P61" s="118" t="str">
        <f t="shared" si="3"/>
        <v/>
      </c>
      <c r="Q61" s="122" t="str">
        <f t="shared" si="4"/>
        <v/>
      </c>
      <c r="R61" s="93"/>
      <c r="S61" s="93"/>
      <c r="T61" s="96"/>
      <c r="U61" s="87" t="str">
        <f t="shared" si="5"/>
        <v/>
      </c>
      <c r="V61" s="97"/>
      <c r="Y61" s="218" t="str">
        <f t="shared" si="6"/>
        <v/>
      </c>
    </row>
    <row r="62" spans="1:25" x14ac:dyDescent="0.3">
      <c r="A62" s="4">
        <v>52</v>
      </c>
      <c r="B62" s="85"/>
      <c r="C62" s="76"/>
      <c r="D62" s="77"/>
      <c r="E62" s="78"/>
      <c r="F62" s="79"/>
      <c r="G62" s="80"/>
      <c r="H62" s="85"/>
      <c r="I62" s="81" t="str">
        <f t="shared" si="0"/>
        <v/>
      </c>
      <c r="J62" s="82" t="str">
        <f t="shared" si="1"/>
        <v/>
      </c>
      <c r="K62" s="83"/>
      <c r="L62" s="84"/>
      <c r="M62" s="118" t="str">
        <f t="shared" si="2"/>
        <v/>
      </c>
      <c r="N62" s="85"/>
      <c r="O62" s="85"/>
      <c r="P62" s="118" t="str">
        <f t="shared" si="3"/>
        <v/>
      </c>
      <c r="Q62" s="122" t="str">
        <f t="shared" si="4"/>
        <v/>
      </c>
      <c r="R62" s="85"/>
      <c r="S62" s="85"/>
      <c r="T62" s="86"/>
      <c r="U62" s="87" t="str">
        <f t="shared" si="5"/>
        <v/>
      </c>
      <c r="V62" s="88"/>
      <c r="Y62" s="218" t="str">
        <f t="shared" si="6"/>
        <v/>
      </c>
    </row>
    <row r="63" spans="1:25" x14ac:dyDescent="0.3">
      <c r="A63" s="5">
        <v>53</v>
      </c>
      <c r="B63" s="93"/>
      <c r="C63" s="89"/>
      <c r="D63" s="90"/>
      <c r="E63" s="91"/>
      <c r="F63" s="92"/>
      <c r="G63" s="67"/>
      <c r="H63" s="93"/>
      <c r="I63" s="81" t="str">
        <f t="shared" si="0"/>
        <v/>
      </c>
      <c r="J63" s="82" t="str">
        <f t="shared" si="1"/>
        <v/>
      </c>
      <c r="K63" s="94"/>
      <c r="L63" s="95"/>
      <c r="M63" s="118" t="str">
        <f t="shared" si="2"/>
        <v/>
      </c>
      <c r="N63" s="93"/>
      <c r="O63" s="93"/>
      <c r="P63" s="118" t="str">
        <f t="shared" si="3"/>
        <v/>
      </c>
      <c r="Q63" s="122" t="str">
        <f t="shared" si="4"/>
        <v/>
      </c>
      <c r="R63" s="93"/>
      <c r="S63" s="93"/>
      <c r="T63" s="96"/>
      <c r="U63" s="87" t="str">
        <f t="shared" si="5"/>
        <v/>
      </c>
      <c r="V63" s="97"/>
      <c r="Y63" s="218" t="str">
        <f t="shared" si="6"/>
        <v/>
      </c>
    </row>
    <row r="64" spans="1:25" x14ac:dyDescent="0.3">
      <c r="A64" s="4">
        <v>54</v>
      </c>
      <c r="B64" s="85"/>
      <c r="C64" s="76"/>
      <c r="D64" s="77"/>
      <c r="E64" s="78"/>
      <c r="F64" s="79"/>
      <c r="G64" s="80"/>
      <c r="H64" s="85"/>
      <c r="I64" s="81" t="str">
        <f t="shared" si="0"/>
        <v/>
      </c>
      <c r="J64" s="82" t="str">
        <f t="shared" si="1"/>
        <v/>
      </c>
      <c r="K64" s="83"/>
      <c r="L64" s="84"/>
      <c r="M64" s="118" t="str">
        <f t="shared" si="2"/>
        <v/>
      </c>
      <c r="N64" s="85"/>
      <c r="O64" s="85"/>
      <c r="P64" s="118" t="str">
        <f t="shared" si="3"/>
        <v/>
      </c>
      <c r="Q64" s="122" t="str">
        <f t="shared" si="4"/>
        <v/>
      </c>
      <c r="R64" s="85"/>
      <c r="S64" s="85"/>
      <c r="T64" s="86"/>
      <c r="U64" s="87" t="str">
        <f t="shared" si="5"/>
        <v/>
      </c>
      <c r="V64" s="88"/>
      <c r="Y64" s="218" t="str">
        <f t="shared" si="6"/>
        <v/>
      </c>
    </row>
    <row r="65" spans="1:25" x14ac:dyDescent="0.3">
      <c r="A65" s="5">
        <v>55</v>
      </c>
      <c r="B65" s="93"/>
      <c r="C65" s="89"/>
      <c r="D65" s="90"/>
      <c r="E65" s="91"/>
      <c r="F65" s="92"/>
      <c r="G65" s="67"/>
      <c r="H65" s="93"/>
      <c r="I65" s="81" t="str">
        <f t="shared" si="0"/>
        <v/>
      </c>
      <c r="J65" s="82" t="str">
        <f t="shared" si="1"/>
        <v/>
      </c>
      <c r="K65" s="94"/>
      <c r="L65" s="95"/>
      <c r="M65" s="118" t="str">
        <f t="shared" si="2"/>
        <v/>
      </c>
      <c r="N65" s="93"/>
      <c r="O65" s="93"/>
      <c r="P65" s="118" t="str">
        <f t="shared" si="3"/>
        <v/>
      </c>
      <c r="Q65" s="122" t="str">
        <f t="shared" si="4"/>
        <v/>
      </c>
      <c r="R65" s="93"/>
      <c r="S65" s="93"/>
      <c r="T65" s="96"/>
      <c r="U65" s="87" t="str">
        <f t="shared" si="5"/>
        <v/>
      </c>
      <c r="V65" s="97"/>
      <c r="Y65" s="218" t="str">
        <f t="shared" si="6"/>
        <v/>
      </c>
    </row>
    <row r="66" spans="1:25" x14ac:dyDescent="0.3">
      <c r="A66" s="4">
        <v>56</v>
      </c>
      <c r="B66" s="85"/>
      <c r="C66" s="76"/>
      <c r="D66" s="77"/>
      <c r="E66" s="78"/>
      <c r="F66" s="79"/>
      <c r="G66" s="80"/>
      <c r="H66" s="85"/>
      <c r="I66" s="81" t="str">
        <f t="shared" si="0"/>
        <v/>
      </c>
      <c r="J66" s="82" t="str">
        <f t="shared" si="1"/>
        <v/>
      </c>
      <c r="K66" s="83"/>
      <c r="L66" s="84"/>
      <c r="M66" s="118" t="str">
        <f t="shared" si="2"/>
        <v/>
      </c>
      <c r="N66" s="85"/>
      <c r="O66" s="85"/>
      <c r="P66" s="118" t="str">
        <f t="shared" si="3"/>
        <v/>
      </c>
      <c r="Q66" s="122" t="str">
        <f t="shared" si="4"/>
        <v/>
      </c>
      <c r="R66" s="85"/>
      <c r="S66" s="85"/>
      <c r="T66" s="86"/>
      <c r="U66" s="87" t="str">
        <f t="shared" si="5"/>
        <v/>
      </c>
      <c r="V66" s="88"/>
      <c r="Y66" s="218" t="str">
        <f t="shared" si="6"/>
        <v/>
      </c>
    </row>
    <row r="67" spans="1:25" x14ac:dyDescent="0.3">
      <c r="A67" s="5">
        <v>57</v>
      </c>
      <c r="B67" s="93"/>
      <c r="C67" s="89"/>
      <c r="D67" s="90"/>
      <c r="E67" s="91"/>
      <c r="F67" s="92"/>
      <c r="G67" s="67"/>
      <c r="H67" s="93"/>
      <c r="I67" s="81" t="str">
        <f t="shared" si="0"/>
        <v/>
      </c>
      <c r="J67" s="82" t="str">
        <f t="shared" si="1"/>
        <v/>
      </c>
      <c r="K67" s="94"/>
      <c r="L67" s="95"/>
      <c r="M67" s="118" t="str">
        <f t="shared" si="2"/>
        <v/>
      </c>
      <c r="N67" s="93"/>
      <c r="O67" s="93"/>
      <c r="P67" s="118" t="str">
        <f t="shared" si="3"/>
        <v/>
      </c>
      <c r="Q67" s="122" t="str">
        <f t="shared" si="4"/>
        <v/>
      </c>
      <c r="R67" s="93"/>
      <c r="S67" s="93"/>
      <c r="T67" s="96"/>
      <c r="U67" s="87" t="str">
        <f t="shared" si="5"/>
        <v/>
      </c>
      <c r="V67" s="97"/>
      <c r="Y67" s="218" t="str">
        <f t="shared" si="6"/>
        <v/>
      </c>
    </row>
    <row r="68" spans="1:25" x14ac:dyDescent="0.3">
      <c r="A68" s="4">
        <v>58</v>
      </c>
      <c r="B68" s="85"/>
      <c r="C68" s="76"/>
      <c r="D68" s="77"/>
      <c r="E68" s="78"/>
      <c r="F68" s="79"/>
      <c r="G68" s="80"/>
      <c r="H68" s="85"/>
      <c r="I68" s="81" t="str">
        <f t="shared" si="0"/>
        <v/>
      </c>
      <c r="J68" s="82" t="str">
        <f t="shared" si="1"/>
        <v/>
      </c>
      <c r="K68" s="83"/>
      <c r="L68" s="84"/>
      <c r="M68" s="118" t="str">
        <f t="shared" si="2"/>
        <v/>
      </c>
      <c r="N68" s="85"/>
      <c r="O68" s="85"/>
      <c r="P68" s="118" t="str">
        <f t="shared" si="3"/>
        <v/>
      </c>
      <c r="Q68" s="122" t="str">
        <f t="shared" si="4"/>
        <v/>
      </c>
      <c r="R68" s="85"/>
      <c r="S68" s="85"/>
      <c r="T68" s="86"/>
      <c r="U68" s="87" t="str">
        <f t="shared" si="5"/>
        <v/>
      </c>
      <c r="V68" s="88"/>
      <c r="Y68" s="218" t="str">
        <f t="shared" si="6"/>
        <v/>
      </c>
    </row>
    <row r="69" spans="1:25" x14ac:dyDescent="0.3">
      <c r="A69" s="5">
        <v>59</v>
      </c>
      <c r="B69" s="93"/>
      <c r="C69" s="89"/>
      <c r="D69" s="90"/>
      <c r="E69" s="91"/>
      <c r="F69" s="92"/>
      <c r="G69" s="67"/>
      <c r="H69" s="93"/>
      <c r="I69" s="81" t="str">
        <f t="shared" si="0"/>
        <v/>
      </c>
      <c r="J69" s="82" t="str">
        <f t="shared" si="1"/>
        <v/>
      </c>
      <c r="K69" s="94"/>
      <c r="L69" s="95"/>
      <c r="M69" s="118" t="str">
        <f t="shared" si="2"/>
        <v/>
      </c>
      <c r="N69" s="93"/>
      <c r="O69" s="93"/>
      <c r="P69" s="118" t="str">
        <f t="shared" si="3"/>
        <v/>
      </c>
      <c r="Q69" s="122" t="str">
        <f t="shared" si="4"/>
        <v/>
      </c>
      <c r="R69" s="93"/>
      <c r="S69" s="93"/>
      <c r="T69" s="96"/>
      <c r="U69" s="87" t="str">
        <f t="shared" si="5"/>
        <v/>
      </c>
      <c r="V69" s="97"/>
      <c r="Y69" s="218" t="str">
        <f t="shared" si="6"/>
        <v/>
      </c>
    </row>
    <row r="70" spans="1:25" x14ac:dyDescent="0.3">
      <c r="A70" s="5">
        <f>A69+1</f>
        <v>60</v>
      </c>
      <c r="B70" s="93"/>
      <c r="C70" s="89"/>
      <c r="D70" s="90"/>
      <c r="E70" s="91"/>
      <c r="F70" s="92"/>
      <c r="G70" s="80"/>
      <c r="H70" s="85"/>
      <c r="I70" s="81" t="str">
        <f t="shared" si="0"/>
        <v/>
      </c>
      <c r="J70" s="82" t="str">
        <f t="shared" si="1"/>
        <v/>
      </c>
      <c r="K70" s="83"/>
      <c r="L70" s="84"/>
      <c r="M70" s="118" t="str">
        <f t="shared" si="2"/>
        <v/>
      </c>
      <c r="N70" s="85"/>
      <c r="O70" s="85"/>
      <c r="P70" s="118" t="str">
        <f t="shared" si="3"/>
        <v/>
      </c>
      <c r="Q70" s="122" t="str">
        <f t="shared" si="4"/>
        <v/>
      </c>
      <c r="R70" s="85"/>
      <c r="S70" s="85"/>
      <c r="T70" s="86"/>
      <c r="U70" s="87" t="str">
        <f t="shared" si="5"/>
        <v/>
      </c>
      <c r="V70" s="88"/>
      <c r="Y70" s="218" t="str">
        <f t="shared" si="6"/>
        <v/>
      </c>
    </row>
    <row r="71" spans="1:25" x14ac:dyDescent="0.3">
      <c r="A71" s="4">
        <f t="shared" ref="A71:A109" si="7">A70+1</f>
        <v>61</v>
      </c>
      <c r="B71" s="85"/>
      <c r="C71" s="76"/>
      <c r="D71" s="77"/>
      <c r="E71" s="78"/>
      <c r="F71" s="79"/>
      <c r="G71" s="67"/>
      <c r="H71" s="93"/>
      <c r="I71" s="81" t="str">
        <f t="shared" si="0"/>
        <v/>
      </c>
      <c r="J71" s="82" t="str">
        <f t="shared" si="1"/>
        <v/>
      </c>
      <c r="K71" s="94"/>
      <c r="L71" s="95"/>
      <c r="M71" s="118" t="str">
        <f t="shared" si="2"/>
        <v/>
      </c>
      <c r="N71" s="93"/>
      <c r="O71" s="93"/>
      <c r="P71" s="118" t="str">
        <f t="shared" si="3"/>
        <v/>
      </c>
      <c r="Q71" s="122" t="str">
        <f t="shared" si="4"/>
        <v/>
      </c>
      <c r="R71" s="93"/>
      <c r="S71" s="93"/>
      <c r="T71" s="96"/>
      <c r="U71" s="87" t="str">
        <f t="shared" si="5"/>
        <v/>
      </c>
      <c r="V71" s="97"/>
      <c r="Y71" s="218" t="str">
        <f t="shared" si="6"/>
        <v/>
      </c>
    </row>
    <row r="72" spans="1:25" x14ac:dyDescent="0.3">
      <c r="A72" s="5">
        <f t="shared" si="7"/>
        <v>62</v>
      </c>
      <c r="B72" s="93"/>
      <c r="C72" s="89"/>
      <c r="D72" s="90"/>
      <c r="E72" s="91"/>
      <c r="F72" s="92"/>
      <c r="G72" s="80"/>
      <c r="H72" s="85"/>
      <c r="I72" s="81" t="str">
        <f t="shared" si="0"/>
        <v/>
      </c>
      <c r="J72" s="82" t="str">
        <f t="shared" si="1"/>
        <v/>
      </c>
      <c r="K72" s="83"/>
      <c r="L72" s="84"/>
      <c r="M72" s="118" t="str">
        <f t="shared" si="2"/>
        <v/>
      </c>
      <c r="N72" s="85"/>
      <c r="O72" s="85"/>
      <c r="P72" s="118" t="str">
        <f t="shared" si="3"/>
        <v/>
      </c>
      <c r="Q72" s="122" t="str">
        <f t="shared" si="4"/>
        <v/>
      </c>
      <c r="R72" s="85"/>
      <c r="S72" s="85"/>
      <c r="T72" s="86"/>
      <c r="U72" s="87" t="str">
        <f t="shared" si="5"/>
        <v/>
      </c>
      <c r="V72" s="88"/>
      <c r="Y72" s="218" t="str">
        <f t="shared" si="6"/>
        <v/>
      </c>
    </row>
    <row r="73" spans="1:25" x14ac:dyDescent="0.3">
      <c r="A73" s="4">
        <f t="shared" si="7"/>
        <v>63</v>
      </c>
      <c r="B73" s="85"/>
      <c r="C73" s="76"/>
      <c r="D73" s="77"/>
      <c r="E73" s="78"/>
      <c r="F73" s="79"/>
      <c r="G73" s="67"/>
      <c r="H73" s="93"/>
      <c r="I73" s="81" t="str">
        <f t="shared" si="0"/>
        <v/>
      </c>
      <c r="J73" s="82" t="str">
        <f t="shared" si="1"/>
        <v/>
      </c>
      <c r="K73" s="94"/>
      <c r="L73" s="95"/>
      <c r="M73" s="118" t="str">
        <f t="shared" si="2"/>
        <v/>
      </c>
      <c r="N73" s="93"/>
      <c r="O73" s="93"/>
      <c r="P73" s="118" t="str">
        <f t="shared" si="3"/>
        <v/>
      </c>
      <c r="Q73" s="122" t="str">
        <f t="shared" si="4"/>
        <v/>
      </c>
      <c r="R73" s="93"/>
      <c r="S73" s="93"/>
      <c r="T73" s="96"/>
      <c r="U73" s="87" t="str">
        <f t="shared" si="5"/>
        <v/>
      </c>
      <c r="V73" s="97"/>
      <c r="Y73" s="218" t="str">
        <f t="shared" si="6"/>
        <v/>
      </c>
    </row>
    <row r="74" spans="1:25" x14ac:dyDescent="0.3">
      <c r="A74" s="5">
        <f t="shared" si="7"/>
        <v>64</v>
      </c>
      <c r="B74" s="93"/>
      <c r="C74" s="89"/>
      <c r="D74" s="90"/>
      <c r="E74" s="91"/>
      <c r="F74" s="92"/>
      <c r="G74" s="80"/>
      <c r="H74" s="85"/>
      <c r="I74" s="81" t="str">
        <f t="shared" si="0"/>
        <v/>
      </c>
      <c r="J74" s="82" t="str">
        <f t="shared" si="1"/>
        <v/>
      </c>
      <c r="K74" s="83"/>
      <c r="L74" s="84"/>
      <c r="M74" s="118" t="str">
        <f t="shared" si="2"/>
        <v/>
      </c>
      <c r="N74" s="85"/>
      <c r="O74" s="85"/>
      <c r="P74" s="118" t="str">
        <f t="shared" si="3"/>
        <v/>
      </c>
      <c r="Q74" s="122" t="str">
        <f t="shared" si="4"/>
        <v/>
      </c>
      <c r="R74" s="85"/>
      <c r="S74" s="85"/>
      <c r="T74" s="86"/>
      <c r="U74" s="87" t="str">
        <f t="shared" si="5"/>
        <v/>
      </c>
      <c r="V74" s="88"/>
      <c r="Y74" s="218" t="str">
        <f t="shared" si="6"/>
        <v/>
      </c>
    </row>
    <row r="75" spans="1:25" x14ac:dyDescent="0.3">
      <c r="A75" s="4">
        <f t="shared" si="7"/>
        <v>65</v>
      </c>
      <c r="B75" s="85"/>
      <c r="C75" s="76"/>
      <c r="D75" s="77"/>
      <c r="E75" s="78"/>
      <c r="F75" s="79"/>
      <c r="G75" s="67"/>
      <c r="H75" s="93"/>
      <c r="I75" s="81" t="str">
        <f t="shared" si="0"/>
        <v/>
      </c>
      <c r="J75" s="82" t="str">
        <f t="shared" si="1"/>
        <v/>
      </c>
      <c r="K75" s="94"/>
      <c r="L75" s="95"/>
      <c r="M75" s="118" t="str">
        <f t="shared" si="2"/>
        <v/>
      </c>
      <c r="N75" s="93"/>
      <c r="O75" s="93"/>
      <c r="P75" s="118" t="str">
        <f t="shared" si="3"/>
        <v/>
      </c>
      <c r="Q75" s="122" t="str">
        <f t="shared" si="4"/>
        <v/>
      </c>
      <c r="R75" s="93"/>
      <c r="S75" s="93"/>
      <c r="T75" s="96"/>
      <c r="U75" s="87" t="str">
        <f t="shared" si="5"/>
        <v/>
      </c>
      <c r="V75" s="97"/>
      <c r="Y75" s="218" t="str">
        <f t="shared" si="6"/>
        <v/>
      </c>
    </row>
    <row r="76" spans="1:25" x14ac:dyDescent="0.3">
      <c r="A76" s="5">
        <f t="shared" si="7"/>
        <v>66</v>
      </c>
      <c r="B76" s="93"/>
      <c r="C76" s="89"/>
      <c r="D76" s="90"/>
      <c r="E76" s="91"/>
      <c r="F76" s="92"/>
      <c r="G76" s="80"/>
      <c r="H76" s="85"/>
      <c r="I76" s="81" t="str">
        <f t="shared" ref="I76:I110" si="8">IF(AND(F76="",G76=""),"",IF(F76&lt;7,F76+G76,F76+10+H76))</f>
        <v/>
      </c>
      <c r="J76" s="82" t="str">
        <f t="shared" ref="J76:J110" si="9">IF(I76="","",IF(F76&lt;7,IF(I76&lt;=10,"Full Refresher","Moderate Refresher"),IF(I76&lt;27,"Light Refresher","Grade Ready")))</f>
        <v/>
      </c>
      <c r="K76" s="83"/>
      <c r="L76" s="84"/>
      <c r="M76" s="118" t="str">
        <f t="shared" ref="M76:M110" si="10">IF($C$9&lt;&gt;"",IF(OR(K76=1, K76=2),IF(K76=1,M$7-L76,$P$7-L76),""),"")</f>
        <v/>
      </c>
      <c r="N76" s="85"/>
      <c r="O76" s="85"/>
      <c r="P76" s="118" t="str">
        <f t="shared" ref="P76:P110" si="11">IF(AND(K76&gt;0,M76&gt;0,OR(N76&gt;0,O76&gt;0)),(M76/((N76*60)+O76))*60,"")</f>
        <v/>
      </c>
      <c r="Q76" s="122" t="str">
        <f t="shared" ref="Q76:Q110" si="12">IFERROR(IF(OR(K76=1, K76=2),IF(K76=1,M76/$M$7,M76/$P$7),""),"")</f>
        <v/>
      </c>
      <c r="R76" s="85"/>
      <c r="S76" s="85"/>
      <c r="T76" s="86"/>
      <c r="U76" s="87" t="str">
        <f t="shared" ref="U76:U110" si="13">IF(J76&lt;&gt;"",IF(J76="Full Refresher","Low Emerging Reader",IF(AND(K76&gt;0,Q76&lt;&gt;""),IF(OR(Q76&lt;=25%,AND(Q76&gt;25%,Q76&lt;=50%, R76=0)),"High Emerging Reader",IF(OR(AND(Q76&gt;25%,Q76&lt;51%, R76&gt;=1),AND(Q76&gt;50%,Q76&lt;76%,R76&lt;=2)),"Developing Reader",IF(OR(AND(Q76&gt;=51%, Q76&lt;76%,R76&gt;=3),AND(Q76&gt;75%,R76&lt;=4)),"Transitioning Reader",IF(AND(Q76&gt;75%,R76&gt;=5),"Reading At Grade Level","")))),"")),"")</f>
        <v/>
      </c>
      <c r="V76" s="88"/>
      <c r="Y76" s="218" t="str">
        <f t="shared" ref="Y76:Y110" si="14">IF(C76&lt;&gt;"",R76/6,"")</f>
        <v/>
      </c>
    </row>
    <row r="77" spans="1:25" x14ac:dyDescent="0.3">
      <c r="A77" s="4">
        <f t="shared" si="7"/>
        <v>67</v>
      </c>
      <c r="B77" s="85"/>
      <c r="C77" s="76"/>
      <c r="D77" s="77"/>
      <c r="E77" s="78"/>
      <c r="F77" s="79"/>
      <c r="G77" s="67"/>
      <c r="H77" s="93"/>
      <c r="I77" s="81" t="str">
        <f t="shared" si="8"/>
        <v/>
      </c>
      <c r="J77" s="82" t="str">
        <f t="shared" si="9"/>
        <v/>
      </c>
      <c r="K77" s="94"/>
      <c r="L77" s="95"/>
      <c r="M77" s="118" t="str">
        <f t="shared" si="10"/>
        <v/>
      </c>
      <c r="N77" s="93"/>
      <c r="O77" s="93"/>
      <c r="P77" s="118" t="str">
        <f t="shared" si="11"/>
        <v/>
      </c>
      <c r="Q77" s="122" t="str">
        <f t="shared" si="12"/>
        <v/>
      </c>
      <c r="R77" s="93"/>
      <c r="S77" s="93"/>
      <c r="T77" s="96"/>
      <c r="U77" s="87" t="str">
        <f t="shared" si="13"/>
        <v/>
      </c>
      <c r="V77" s="97"/>
      <c r="Y77" s="218" t="str">
        <f t="shared" si="14"/>
        <v/>
      </c>
    </row>
    <row r="78" spans="1:25" x14ac:dyDescent="0.3">
      <c r="A78" s="5">
        <f t="shared" si="7"/>
        <v>68</v>
      </c>
      <c r="B78" s="93"/>
      <c r="C78" s="89"/>
      <c r="D78" s="90"/>
      <c r="E78" s="91"/>
      <c r="F78" s="92"/>
      <c r="G78" s="80"/>
      <c r="H78" s="85"/>
      <c r="I78" s="81" t="str">
        <f t="shared" si="8"/>
        <v/>
      </c>
      <c r="J78" s="82" t="str">
        <f t="shared" si="9"/>
        <v/>
      </c>
      <c r="K78" s="83"/>
      <c r="L78" s="84"/>
      <c r="M78" s="118" t="str">
        <f t="shared" si="10"/>
        <v/>
      </c>
      <c r="N78" s="85"/>
      <c r="O78" s="85"/>
      <c r="P78" s="118" t="str">
        <f t="shared" si="11"/>
        <v/>
      </c>
      <c r="Q78" s="122" t="str">
        <f t="shared" si="12"/>
        <v/>
      </c>
      <c r="R78" s="85"/>
      <c r="S78" s="85"/>
      <c r="T78" s="86"/>
      <c r="U78" s="87" t="str">
        <f t="shared" si="13"/>
        <v/>
      </c>
      <c r="V78" s="88"/>
      <c r="Y78" s="218" t="str">
        <f t="shared" si="14"/>
        <v/>
      </c>
    </row>
    <row r="79" spans="1:25" x14ac:dyDescent="0.3">
      <c r="A79" s="4">
        <f t="shared" si="7"/>
        <v>69</v>
      </c>
      <c r="B79" s="85"/>
      <c r="C79" s="76"/>
      <c r="D79" s="77"/>
      <c r="E79" s="78"/>
      <c r="F79" s="79"/>
      <c r="G79" s="67"/>
      <c r="H79" s="93"/>
      <c r="I79" s="81" t="str">
        <f t="shared" si="8"/>
        <v/>
      </c>
      <c r="J79" s="82" t="str">
        <f t="shared" si="9"/>
        <v/>
      </c>
      <c r="K79" s="94"/>
      <c r="L79" s="95"/>
      <c r="M79" s="118" t="str">
        <f t="shared" si="10"/>
        <v/>
      </c>
      <c r="N79" s="93"/>
      <c r="O79" s="93"/>
      <c r="P79" s="118" t="str">
        <f t="shared" si="11"/>
        <v/>
      </c>
      <c r="Q79" s="122" t="str">
        <f t="shared" si="12"/>
        <v/>
      </c>
      <c r="R79" s="93"/>
      <c r="S79" s="93"/>
      <c r="T79" s="96"/>
      <c r="U79" s="87" t="str">
        <f t="shared" si="13"/>
        <v/>
      </c>
      <c r="V79" s="97"/>
      <c r="Y79" s="218" t="str">
        <f t="shared" si="14"/>
        <v/>
      </c>
    </row>
    <row r="80" spans="1:25" x14ac:dyDescent="0.3">
      <c r="A80" s="5">
        <f t="shared" si="7"/>
        <v>70</v>
      </c>
      <c r="B80" s="93"/>
      <c r="C80" s="89"/>
      <c r="D80" s="90"/>
      <c r="E80" s="91"/>
      <c r="F80" s="92"/>
      <c r="G80" s="80"/>
      <c r="H80" s="85"/>
      <c r="I80" s="81" t="str">
        <f t="shared" si="8"/>
        <v/>
      </c>
      <c r="J80" s="82" t="str">
        <f t="shared" si="9"/>
        <v/>
      </c>
      <c r="K80" s="83"/>
      <c r="L80" s="84"/>
      <c r="M80" s="118" t="str">
        <f t="shared" si="10"/>
        <v/>
      </c>
      <c r="N80" s="85"/>
      <c r="O80" s="85"/>
      <c r="P80" s="118" t="str">
        <f t="shared" si="11"/>
        <v/>
      </c>
      <c r="Q80" s="122" t="str">
        <f t="shared" si="12"/>
        <v/>
      </c>
      <c r="R80" s="85"/>
      <c r="S80" s="85"/>
      <c r="T80" s="86"/>
      <c r="U80" s="87" t="str">
        <f t="shared" si="13"/>
        <v/>
      </c>
      <c r="V80" s="88"/>
      <c r="Y80" s="218" t="str">
        <f t="shared" si="14"/>
        <v/>
      </c>
    </row>
    <row r="81" spans="1:25" x14ac:dyDescent="0.3">
      <c r="A81" s="4">
        <f t="shared" si="7"/>
        <v>71</v>
      </c>
      <c r="B81" s="85"/>
      <c r="C81" s="76"/>
      <c r="D81" s="77"/>
      <c r="E81" s="78"/>
      <c r="F81" s="79"/>
      <c r="G81" s="67"/>
      <c r="H81" s="93"/>
      <c r="I81" s="81" t="str">
        <f t="shared" si="8"/>
        <v/>
      </c>
      <c r="J81" s="82" t="str">
        <f t="shared" si="9"/>
        <v/>
      </c>
      <c r="K81" s="94"/>
      <c r="L81" s="95"/>
      <c r="M81" s="118" t="str">
        <f t="shared" si="10"/>
        <v/>
      </c>
      <c r="N81" s="93"/>
      <c r="O81" s="93"/>
      <c r="P81" s="118" t="str">
        <f t="shared" si="11"/>
        <v/>
      </c>
      <c r="Q81" s="122" t="str">
        <f t="shared" si="12"/>
        <v/>
      </c>
      <c r="R81" s="93"/>
      <c r="S81" s="93"/>
      <c r="T81" s="96"/>
      <c r="U81" s="87" t="str">
        <f t="shared" si="13"/>
        <v/>
      </c>
      <c r="V81" s="97"/>
      <c r="Y81" s="218" t="str">
        <f t="shared" si="14"/>
        <v/>
      </c>
    </row>
    <row r="82" spans="1:25" x14ac:dyDescent="0.3">
      <c r="A82" s="5">
        <f t="shared" si="7"/>
        <v>72</v>
      </c>
      <c r="B82" s="93"/>
      <c r="C82" s="89"/>
      <c r="D82" s="90"/>
      <c r="E82" s="91"/>
      <c r="F82" s="92"/>
      <c r="G82" s="80"/>
      <c r="H82" s="85"/>
      <c r="I82" s="81" t="str">
        <f t="shared" si="8"/>
        <v/>
      </c>
      <c r="J82" s="82" t="str">
        <f t="shared" si="9"/>
        <v/>
      </c>
      <c r="K82" s="83"/>
      <c r="L82" s="84"/>
      <c r="M82" s="118" t="str">
        <f t="shared" si="10"/>
        <v/>
      </c>
      <c r="N82" s="85"/>
      <c r="O82" s="85"/>
      <c r="P82" s="118" t="str">
        <f t="shared" si="11"/>
        <v/>
      </c>
      <c r="Q82" s="122" t="str">
        <f t="shared" si="12"/>
        <v/>
      </c>
      <c r="R82" s="85"/>
      <c r="S82" s="85"/>
      <c r="T82" s="86"/>
      <c r="U82" s="87" t="str">
        <f t="shared" si="13"/>
        <v/>
      </c>
      <c r="V82" s="88"/>
      <c r="Y82" s="218" t="str">
        <f t="shared" si="14"/>
        <v/>
      </c>
    </row>
    <row r="83" spans="1:25" x14ac:dyDescent="0.3">
      <c r="A83" s="4">
        <f t="shared" si="7"/>
        <v>73</v>
      </c>
      <c r="B83" s="85"/>
      <c r="C83" s="76"/>
      <c r="D83" s="77"/>
      <c r="E83" s="78"/>
      <c r="F83" s="79"/>
      <c r="G83" s="67"/>
      <c r="H83" s="93"/>
      <c r="I83" s="81" t="str">
        <f t="shared" si="8"/>
        <v/>
      </c>
      <c r="J83" s="82" t="str">
        <f t="shared" si="9"/>
        <v/>
      </c>
      <c r="K83" s="94"/>
      <c r="L83" s="95"/>
      <c r="M83" s="118" t="str">
        <f t="shared" si="10"/>
        <v/>
      </c>
      <c r="N83" s="93"/>
      <c r="O83" s="93"/>
      <c r="P83" s="118" t="str">
        <f t="shared" si="11"/>
        <v/>
      </c>
      <c r="Q83" s="122" t="str">
        <f t="shared" si="12"/>
        <v/>
      </c>
      <c r="R83" s="93"/>
      <c r="S83" s="93"/>
      <c r="T83" s="96"/>
      <c r="U83" s="87" t="str">
        <f t="shared" si="13"/>
        <v/>
      </c>
      <c r="V83" s="97"/>
      <c r="Y83" s="218" t="str">
        <f t="shared" si="14"/>
        <v/>
      </c>
    </row>
    <row r="84" spans="1:25" x14ac:dyDescent="0.3">
      <c r="A84" s="5">
        <f t="shared" si="7"/>
        <v>74</v>
      </c>
      <c r="B84" s="93"/>
      <c r="C84" s="89"/>
      <c r="D84" s="90"/>
      <c r="E84" s="91"/>
      <c r="F84" s="92"/>
      <c r="G84" s="80"/>
      <c r="H84" s="85"/>
      <c r="I84" s="81" t="str">
        <f t="shared" si="8"/>
        <v/>
      </c>
      <c r="J84" s="82" t="str">
        <f t="shared" si="9"/>
        <v/>
      </c>
      <c r="K84" s="83"/>
      <c r="L84" s="84"/>
      <c r="M84" s="118" t="str">
        <f t="shared" si="10"/>
        <v/>
      </c>
      <c r="N84" s="85"/>
      <c r="O84" s="85"/>
      <c r="P84" s="118" t="str">
        <f t="shared" si="11"/>
        <v/>
      </c>
      <c r="Q84" s="122" t="str">
        <f t="shared" si="12"/>
        <v/>
      </c>
      <c r="R84" s="85"/>
      <c r="S84" s="85"/>
      <c r="T84" s="86"/>
      <c r="U84" s="87" t="str">
        <f t="shared" si="13"/>
        <v/>
      </c>
      <c r="V84" s="88"/>
      <c r="Y84" s="218" t="str">
        <f t="shared" si="14"/>
        <v/>
      </c>
    </row>
    <row r="85" spans="1:25" x14ac:dyDescent="0.3">
      <c r="A85" s="4">
        <f t="shared" si="7"/>
        <v>75</v>
      </c>
      <c r="B85" s="85"/>
      <c r="C85" s="76"/>
      <c r="D85" s="77"/>
      <c r="E85" s="78"/>
      <c r="F85" s="79"/>
      <c r="G85" s="67"/>
      <c r="H85" s="93"/>
      <c r="I85" s="81" t="str">
        <f t="shared" si="8"/>
        <v/>
      </c>
      <c r="J85" s="82" t="str">
        <f t="shared" si="9"/>
        <v/>
      </c>
      <c r="K85" s="94"/>
      <c r="L85" s="95"/>
      <c r="M85" s="118" t="str">
        <f t="shared" si="10"/>
        <v/>
      </c>
      <c r="N85" s="93"/>
      <c r="O85" s="93"/>
      <c r="P85" s="118" t="str">
        <f t="shared" si="11"/>
        <v/>
      </c>
      <c r="Q85" s="122" t="str">
        <f t="shared" si="12"/>
        <v/>
      </c>
      <c r="R85" s="93"/>
      <c r="S85" s="93"/>
      <c r="T85" s="96"/>
      <c r="U85" s="87" t="str">
        <f t="shared" si="13"/>
        <v/>
      </c>
      <c r="V85" s="97"/>
      <c r="Y85" s="218" t="str">
        <f t="shared" si="14"/>
        <v/>
      </c>
    </row>
    <row r="86" spans="1:25" x14ac:dyDescent="0.3">
      <c r="A86" s="5">
        <f t="shared" si="7"/>
        <v>76</v>
      </c>
      <c r="B86" s="93"/>
      <c r="C86" s="89"/>
      <c r="D86" s="90"/>
      <c r="E86" s="91"/>
      <c r="F86" s="92"/>
      <c r="G86" s="80"/>
      <c r="H86" s="85"/>
      <c r="I86" s="81" t="str">
        <f t="shared" si="8"/>
        <v/>
      </c>
      <c r="J86" s="82" t="str">
        <f t="shared" si="9"/>
        <v/>
      </c>
      <c r="K86" s="83"/>
      <c r="L86" s="84"/>
      <c r="M86" s="118" t="str">
        <f t="shared" si="10"/>
        <v/>
      </c>
      <c r="N86" s="85"/>
      <c r="O86" s="85"/>
      <c r="P86" s="118" t="str">
        <f t="shared" si="11"/>
        <v/>
      </c>
      <c r="Q86" s="122" t="str">
        <f t="shared" si="12"/>
        <v/>
      </c>
      <c r="R86" s="85"/>
      <c r="S86" s="85"/>
      <c r="T86" s="86"/>
      <c r="U86" s="87" t="str">
        <f t="shared" si="13"/>
        <v/>
      </c>
      <c r="V86" s="88"/>
      <c r="Y86" s="218" t="str">
        <f t="shared" si="14"/>
        <v/>
      </c>
    </row>
    <row r="87" spans="1:25" x14ac:dyDescent="0.3">
      <c r="A87" s="4">
        <f t="shared" si="7"/>
        <v>77</v>
      </c>
      <c r="B87" s="85"/>
      <c r="C87" s="76"/>
      <c r="D87" s="77"/>
      <c r="E87" s="78"/>
      <c r="F87" s="79"/>
      <c r="G87" s="67"/>
      <c r="H87" s="93"/>
      <c r="I87" s="81" t="str">
        <f t="shared" si="8"/>
        <v/>
      </c>
      <c r="J87" s="82" t="str">
        <f t="shared" si="9"/>
        <v/>
      </c>
      <c r="K87" s="94"/>
      <c r="L87" s="95"/>
      <c r="M87" s="118" t="str">
        <f t="shared" si="10"/>
        <v/>
      </c>
      <c r="N87" s="93"/>
      <c r="O87" s="93"/>
      <c r="P87" s="118" t="str">
        <f t="shared" si="11"/>
        <v/>
      </c>
      <c r="Q87" s="122" t="str">
        <f t="shared" si="12"/>
        <v/>
      </c>
      <c r="R87" s="93"/>
      <c r="S87" s="93"/>
      <c r="T87" s="96"/>
      <c r="U87" s="87" t="str">
        <f t="shared" si="13"/>
        <v/>
      </c>
      <c r="V87" s="97"/>
      <c r="Y87" s="218" t="str">
        <f t="shared" si="14"/>
        <v/>
      </c>
    </row>
    <row r="88" spans="1:25" x14ac:dyDescent="0.3">
      <c r="A88" s="5">
        <f t="shared" si="7"/>
        <v>78</v>
      </c>
      <c r="B88" s="93"/>
      <c r="C88" s="89"/>
      <c r="D88" s="90"/>
      <c r="E88" s="91"/>
      <c r="F88" s="92"/>
      <c r="G88" s="80"/>
      <c r="H88" s="85"/>
      <c r="I88" s="81" t="str">
        <f t="shared" si="8"/>
        <v/>
      </c>
      <c r="J88" s="82" t="str">
        <f t="shared" si="9"/>
        <v/>
      </c>
      <c r="K88" s="83"/>
      <c r="L88" s="84"/>
      <c r="M88" s="118" t="str">
        <f t="shared" si="10"/>
        <v/>
      </c>
      <c r="N88" s="85"/>
      <c r="O88" s="85"/>
      <c r="P88" s="118" t="str">
        <f t="shared" si="11"/>
        <v/>
      </c>
      <c r="Q88" s="122" t="str">
        <f t="shared" si="12"/>
        <v/>
      </c>
      <c r="R88" s="85"/>
      <c r="S88" s="85"/>
      <c r="T88" s="86"/>
      <c r="U88" s="87" t="str">
        <f t="shared" si="13"/>
        <v/>
      </c>
      <c r="V88" s="88"/>
      <c r="Y88" s="218" t="str">
        <f t="shared" si="14"/>
        <v/>
      </c>
    </row>
    <row r="89" spans="1:25" x14ac:dyDescent="0.3">
      <c r="A89" s="4">
        <f t="shared" si="7"/>
        <v>79</v>
      </c>
      <c r="B89" s="85"/>
      <c r="C89" s="76"/>
      <c r="D89" s="77"/>
      <c r="E89" s="78"/>
      <c r="F89" s="79"/>
      <c r="G89" s="67"/>
      <c r="H89" s="93"/>
      <c r="I89" s="81" t="str">
        <f t="shared" si="8"/>
        <v/>
      </c>
      <c r="J89" s="82" t="str">
        <f t="shared" si="9"/>
        <v/>
      </c>
      <c r="K89" s="94"/>
      <c r="L89" s="95"/>
      <c r="M89" s="118" t="str">
        <f t="shared" si="10"/>
        <v/>
      </c>
      <c r="N89" s="93"/>
      <c r="O89" s="93"/>
      <c r="P89" s="118" t="str">
        <f t="shared" si="11"/>
        <v/>
      </c>
      <c r="Q89" s="122" t="str">
        <f t="shared" si="12"/>
        <v/>
      </c>
      <c r="R89" s="93"/>
      <c r="S89" s="93"/>
      <c r="T89" s="96"/>
      <c r="U89" s="87" t="str">
        <f t="shared" si="13"/>
        <v/>
      </c>
      <c r="V89" s="97"/>
      <c r="Y89" s="218" t="str">
        <f t="shared" si="14"/>
        <v/>
      </c>
    </row>
    <row r="90" spans="1:25" x14ac:dyDescent="0.3">
      <c r="A90" s="5">
        <f t="shared" si="7"/>
        <v>80</v>
      </c>
      <c r="B90" s="93"/>
      <c r="C90" s="89"/>
      <c r="D90" s="90"/>
      <c r="E90" s="91"/>
      <c r="F90" s="92"/>
      <c r="G90" s="80"/>
      <c r="H90" s="85"/>
      <c r="I90" s="81" t="str">
        <f t="shared" si="8"/>
        <v/>
      </c>
      <c r="J90" s="82" t="str">
        <f t="shared" si="9"/>
        <v/>
      </c>
      <c r="K90" s="83"/>
      <c r="L90" s="84"/>
      <c r="M90" s="118" t="str">
        <f t="shared" si="10"/>
        <v/>
      </c>
      <c r="N90" s="85"/>
      <c r="O90" s="85"/>
      <c r="P90" s="118" t="str">
        <f t="shared" si="11"/>
        <v/>
      </c>
      <c r="Q90" s="122" t="str">
        <f t="shared" si="12"/>
        <v/>
      </c>
      <c r="R90" s="85"/>
      <c r="S90" s="85"/>
      <c r="T90" s="86"/>
      <c r="U90" s="87" t="str">
        <f t="shared" si="13"/>
        <v/>
      </c>
      <c r="V90" s="88"/>
      <c r="Y90" s="218" t="str">
        <f t="shared" si="14"/>
        <v/>
      </c>
    </row>
    <row r="91" spans="1:25" x14ac:dyDescent="0.3">
      <c r="A91" s="4">
        <f t="shared" si="7"/>
        <v>81</v>
      </c>
      <c r="B91" s="85"/>
      <c r="C91" s="76"/>
      <c r="D91" s="77"/>
      <c r="E91" s="78"/>
      <c r="F91" s="79"/>
      <c r="G91" s="67"/>
      <c r="H91" s="93"/>
      <c r="I91" s="81" t="str">
        <f t="shared" si="8"/>
        <v/>
      </c>
      <c r="J91" s="82" t="str">
        <f t="shared" si="9"/>
        <v/>
      </c>
      <c r="K91" s="94"/>
      <c r="L91" s="95"/>
      <c r="M91" s="118" t="str">
        <f t="shared" si="10"/>
        <v/>
      </c>
      <c r="N91" s="93"/>
      <c r="O91" s="93"/>
      <c r="P91" s="118" t="str">
        <f t="shared" si="11"/>
        <v/>
      </c>
      <c r="Q91" s="122" t="str">
        <f t="shared" si="12"/>
        <v/>
      </c>
      <c r="R91" s="93"/>
      <c r="S91" s="93"/>
      <c r="T91" s="96"/>
      <c r="U91" s="87" t="str">
        <f t="shared" si="13"/>
        <v/>
      </c>
      <c r="V91" s="97"/>
      <c r="Y91" s="218" t="str">
        <f t="shared" si="14"/>
        <v/>
      </c>
    </row>
    <row r="92" spans="1:25" x14ac:dyDescent="0.3">
      <c r="A92" s="5">
        <f t="shared" si="7"/>
        <v>82</v>
      </c>
      <c r="B92" s="93"/>
      <c r="C92" s="89"/>
      <c r="D92" s="90"/>
      <c r="E92" s="91"/>
      <c r="F92" s="92"/>
      <c r="G92" s="80"/>
      <c r="H92" s="85"/>
      <c r="I92" s="81" t="str">
        <f t="shared" si="8"/>
        <v/>
      </c>
      <c r="J92" s="82" t="str">
        <f t="shared" si="9"/>
        <v/>
      </c>
      <c r="K92" s="83"/>
      <c r="L92" s="84"/>
      <c r="M92" s="118" t="str">
        <f t="shared" si="10"/>
        <v/>
      </c>
      <c r="N92" s="85"/>
      <c r="O92" s="85"/>
      <c r="P92" s="118" t="str">
        <f t="shared" si="11"/>
        <v/>
      </c>
      <c r="Q92" s="122" t="str">
        <f t="shared" si="12"/>
        <v/>
      </c>
      <c r="R92" s="85"/>
      <c r="S92" s="85"/>
      <c r="T92" s="86"/>
      <c r="U92" s="87" t="str">
        <f t="shared" si="13"/>
        <v/>
      </c>
      <c r="V92" s="88"/>
      <c r="Y92" s="218" t="str">
        <f t="shared" si="14"/>
        <v/>
      </c>
    </row>
    <row r="93" spans="1:25" x14ac:dyDescent="0.3">
      <c r="A93" s="4">
        <f t="shared" si="7"/>
        <v>83</v>
      </c>
      <c r="B93" s="85"/>
      <c r="C93" s="76"/>
      <c r="D93" s="77"/>
      <c r="E93" s="78"/>
      <c r="F93" s="79"/>
      <c r="G93" s="67"/>
      <c r="H93" s="93"/>
      <c r="I93" s="81" t="str">
        <f t="shared" si="8"/>
        <v/>
      </c>
      <c r="J93" s="82" t="str">
        <f t="shared" si="9"/>
        <v/>
      </c>
      <c r="K93" s="94"/>
      <c r="L93" s="95"/>
      <c r="M93" s="118" t="str">
        <f t="shared" si="10"/>
        <v/>
      </c>
      <c r="N93" s="93"/>
      <c r="O93" s="93"/>
      <c r="P93" s="118" t="str">
        <f t="shared" si="11"/>
        <v/>
      </c>
      <c r="Q93" s="122" t="str">
        <f t="shared" si="12"/>
        <v/>
      </c>
      <c r="R93" s="93"/>
      <c r="S93" s="93"/>
      <c r="T93" s="96"/>
      <c r="U93" s="87" t="str">
        <f t="shared" si="13"/>
        <v/>
      </c>
      <c r="V93" s="97"/>
      <c r="Y93" s="218" t="str">
        <f t="shared" si="14"/>
        <v/>
      </c>
    </row>
    <row r="94" spans="1:25" x14ac:dyDescent="0.3">
      <c r="A94" s="5">
        <f t="shared" si="7"/>
        <v>84</v>
      </c>
      <c r="B94" s="93"/>
      <c r="C94" s="89"/>
      <c r="D94" s="90"/>
      <c r="E94" s="91"/>
      <c r="F94" s="92"/>
      <c r="G94" s="80"/>
      <c r="H94" s="85"/>
      <c r="I94" s="81" t="str">
        <f t="shared" si="8"/>
        <v/>
      </c>
      <c r="J94" s="82" t="str">
        <f t="shared" si="9"/>
        <v/>
      </c>
      <c r="K94" s="83"/>
      <c r="L94" s="84"/>
      <c r="M94" s="118" t="str">
        <f t="shared" si="10"/>
        <v/>
      </c>
      <c r="N94" s="85"/>
      <c r="O94" s="85"/>
      <c r="P94" s="118" t="str">
        <f t="shared" si="11"/>
        <v/>
      </c>
      <c r="Q94" s="122" t="str">
        <f t="shared" si="12"/>
        <v/>
      </c>
      <c r="R94" s="85"/>
      <c r="S94" s="85"/>
      <c r="T94" s="86"/>
      <c r="U94" s="87" t="str">
        <f t="shared" si="13"/>
        <v/>
      </c>
      <c r="V94" s="88"/>
      <c r="Y94" s="218" t="str">
        <f t="shared" si="14"/>
        <v/>
      </c>
    </row>
    <row r="95" spans="1:25" x14ac:dyDescent="0.3">
      <c r="A95" s="4">
        <f t="shared" si="7"/>
        <v>85</v>
      </c>
      <c r="B95" s="85"/>
      <c r="C95" s="76"/>
      <c r="D95" s="77"/>
      <c r="E95" s="78"/>
      <c r="F95" s="79"/>
      <c r="G95" s="67"/>
      <c r="H95" s="93"/>
      <c r="I95" s="81" t="str">
        <f t="shared" si="8"/>
        <v/>
      </c>
      <c r="J95" s="82" t="str">
        <f t="shared" si="9"/>
        <v/>
      </c>
      <c r="K95" s="94"/>
      <c r="L95" s="95"/>
      <c r="M95" s="118" t="str">
        <f t="shared" si="10"/>
        <v/>
      </c>
      <c r="N95" s="93"/>
      <c r="O95" s="93"/>
      <c r="P95" s="118" t="str">
        <f t="shared" si="11"/>
        <v/>
      </c>
      <c r="Q95" s="122" t="str">
        <f t="shared" si="12"/>
        <v/>
      </c>
      <c r="R95" s="93"/>
      <c r="S95" s="93"/>
      <c r="T95" s="96"/>
      <c r="U95" s="87" t="str">
        <f t="shared" si="13"/>
        <v/>
      </c>
      <c r="V95" s="97"/>
      <c r="Y95" s="218" t="str">
        <f t="shared" si="14"/>
        <v/>
      </c>
    </row>
    <row r="96" spans="1:25" x14ac:dyDescent="0.3">
      <c r="A96" s="5">
        <f t="shared" si="7"/>
        <v>86</v>
      </c>
      <c r="B96" s="93"/>
      <c r="C96" s="89"/>
      <c r="D96" s="90"/>
      <c r="E96" s="91"/>
      <c r="F96" s="92"/>
      <c r="G96" s="80"/>
      <c r="H96" s="85"/>
      <c r="I96" s="81" t="str">
        <f t="shared" si="8"/>
        <v/>
      </c>
      <c r="J96" s="82" t="str">
        <f t="shared" si="9"/>
        <v/>
      </c>
      <c r="K96" s="83"/>
      <c r="L96" s="84"/>
      <c r="M96" s="118" t="str">
        <f t="shared" si="10"/>
        <v/>
      </c>
      <c r="N96" s="85"/>
      <c r="O96" s="85"/>
      <c r="P96" s="118" t="str">
        <f t="shared" si="11"/>
        <v/>
      </c>
      <c r="Q96" s="122" t="str">
        <f t="shared" si="12"/>
        <v/>
      </c>
      <c r="R96" s="85"/>
      <c r="S96" s="85"/>
      <c r="T96" s="86"/>
      <c r="U96" s="87" t="str">
        <f t="shared" si="13"/>
        <v/>
      </c>
      <c r="V96" s="88"/>
      <c r="Y96" s="218" t="str">
        <f t="shared" si="14"/>
        <v/>
      </c>
    </row>
    <row r="97" spans="1:25" x14ac:dyDescent="0.3">
      <c r="A97" s="4">
        <f t="shared" si="7"/>
        <v>87</v>
      </c>
      <c r="B97" s="85"/>
      <c r="C97" s="76"/>
      <c r="D97" s="77"/>
      <c r="E97" s="78"/>
      <c r="F97" s="79"/>
      <c r="G97" s="67"/>
      <c r="H97" s="93"/>
      <c r="I97" s="81" t="str">
        <f t="shared" si="8"/>
        <v/>
      </c>
      <c r="J97" s="82" t="str">
        <f t="shared" si="9"/>
        <v/>
      </c>
      <c r="K97" s="94"/>
      <c r="L97" s="95"/>
      <c r="M97" s="118" t="str">
        <f t="shared" si="10"/>
        <v/>
      </c>
      <c r="N97" s="93"/>
      <c r="O97" s="93"/>
      <c r="P97" s="118" t="str">
        <f t="shared" si="11"/>
        <v/>
      </c>
      <c r="Q97" s="122" t="str">
        <f t="shared" si="12"/>
        <v/>
      </c>
      <c r="R97" s="93"/>
      <c r="S97" s="93"/>
      <c r="T97" s="96"/>
      <c r="U97" s="87" t="str">
        <f t="shared" si="13"/>
        <v/>
      </c>
      <c r="V97" s="97"/>
      <c r="Y97" s="218" t="str">
        <f t="shared" si="14"/>
        <v/>
      </c>
    </row>
    <row r="98" spans="1:25" x14ac:dyDescent="0.3">
      <c r="A98" s="5">
        <f t="shared" si="7"/>
        <v>88</v>
      </c>
      <c r="B98" s="93"/>
      <c r="C98" s="89"/>
      <c r="D98" s="90"/>
      <c r="E98" s="91"/>
      <c r="F98" s="92"/>
      <c r="G98" s="80"/>
      <c r="H98" s="85"/>
      <c r="I98" s="81" t="str">
        <f t="shared" si="8"/>
        <v/>
      </c>
      <c r="J98" s="82" t="str">
        <f t="shared" si="9"/>
        <v/>
      </c>
      <c r="K98" s="83"/>
      <c r="L98" s="84"/>
      <c r="M98" s="118" t="str">
        <f t="shared" si="10"/>
        <v/>
      </c>
      <c r="N98" s="85"/>
      <c r="O98" s="85"/>
      <c r="P98" s="118" t="str">
        <f t="shared" si="11"/>
        <v/>
      </c>
      <c r="Q98" s="122" t="str">
        <f t="shared" si="12"/>
        <v/>
      </c>
      <c r="R98" s="85"/>
      <c r="S98" s="85"/>
      <c r="T98" s="86"/>
      <c r="U98" s="87" t="str">
        <f t="shared" si="13"/>
        <v/>
      </c>
      <c r="V98" s="88"/>
      <c r="Y98" s="218" t="str">
        <f t="shared" si="14"/>
        <v/>
      </c>
    </row>
    <row r="99" spans="1:25" x14ac:dyDescent="0.3">
      <c r="A99" s="4">
        <f t="shared" si="7"/>
        <v>89</v>
      </c>
      <c r="B99" s="85"/>
      <c r="C99" s="76"/>
      <c r="D99" s="77"/>
      <c r="E99" s="78"/>
      <c r="F99" s="79"/>
      <c r="G99" s="67"/>
      <c r="H99" s="93"/>
      <c r="I99" s="81" t="str">
        <f t="shared" si="8"/>
        <v/>
      </c>
      <c r="J99" s="82" t="str">
        <f t="shared" si="9"/>
        <v/>
      </c>
      <c r="K99" s="94"/>
      <c r="L99" s="95"/>
      <c r="M99" s="118" t="str">
        <f t="shared" si="10"/>
        <v/>
      </c>
      <c r="N99" s="93"/>
      <c r="O99" s="93"/>
      <c r="P99" s="118" t="str">
        <f t="shared" si="11"/>
        <v/>
      </c>
      <c r="Q99" s="122" t="str">
        <f t="shared" si="12"/>
        <v/>
      </c>
      <c r="R99" s="93"/>
      <c r="S99" s="93"/>
      <c r="T99" s="96"/>
      <c r="U99" s="87" t="str">
        <f t="shared" si="13"/>
        <v/>
      </c>
      <c r="V99" s="97"/>
      <c r="Y99" s="218" t="str">
        <f t="shared" si="14"/>
        <v/>
      </c>
    </row>
    <row r="100" spans="1:25" x14ac:dyDescent="0.3">
      <c r="A100" s="5">
        <f t="shared" si="7"/>
        <v>90</v>
      </c>
      <c r="B100" s="93"/>
      <c r="C100" s="89"/>
      <c r="D100" s="90"/>
      <c r="E100" s="91"/>
      <c r="F100" s="92"/>
      <c r="G100" s="80"/>
      <c r="H100" s="85"/>
      <c r="I100" s="81" t="str">
        <f t="shared" si="8"/>
        <v/>
      </c>
      <c r="J100" s="82" t="str">
        <f t="shared" si="9"/>
        <v/>
      </c>
      <c r="K100" s="83"/>
      <c r="L100" s="84"/>
      <c r="M100" s="118" t="str">
        <f t="shared" si="10"/>
        <v/>
      </c>
      <c r="N100" s="85"/>
      <c r="O100" s="85"/>
      <c r="P100" s="118" t="str">
        <f t="shared" si="11"/>
        <v/>
      </c>
      <c r="Q100" s="122" t="str">
        <f t="shared" si="12"/>
        <v/>
      </c>
      <c r="R100" s="85"/>
      <c r="S100" s="85"/>
      <c r="T100" s="86"/>
      <c r="U100" s="87" t="str">
        <f t="shared" si="13"/>
        <v/>
      </c>
      <c r="V100" s="88"/>
      <c r="Y100" s="218" t="str">
        <f t="shared" si="14"/>
        <v/>
      </c>
    </row>
    <row r="101" spans="1:25" x14ac:dyDescent="0.3">
      <c r="A101" s="4">
        <f t="shared" si="7"/>
        <v>91</v>
      </c>
      <c r="B101" s="85"/>
      <c r="C101" s="76"/>
      <c r="D101" s="77"/>
      <c r="E101" s="78"/>
      <c r="F101" s="79"/>
      <c r="G101" s="67"/>
      <c r="H101" s="93"/>
      <c r="I101" s="81" t="str">
        <f t="shared" si="8"/>
        <v/>
      </c>
      <c r="J101" s="82" t="str">
        <f t="shared" si="9"/>
        <v/>
      </c>
      <c r="K101" s="94"/>
      <c r="L101" s="95"/>
      <c r="M101" s="118" t="str">
        <f t="shared" si="10"/>
        <v/>
      </c>
      <c r="N101" s="93"/>
      <c r="O101" s="93"/>
      <c r="P101" s="118" t="str">
        <f t="shared" si="11"/>
        <v/>
      </c>
      <c r="Q101" s="122" t="str">
        <f t="shared" si="12"/>
        <v/>
      </c>
      <c r="R101" s="93"/>
      <c r="S101" s="93"/>
      <c r="T101" s="96"/>
      <c r="U101" s="87" t="str">
        <f t="shared" si="13"/>
        <v/>
      </c>
      <c r="V101" s="97"/>
      <c r="Y101" s="218" t="str">
        <f t="shared" si="14"/>
        <v/>
      </c>
    </row>
    <row r="102" spans="1:25" x14ac:dyDescent="0.3">
      <c r="A102" s="5">
        <f t="shared" si="7"/>
        <v>92</v>
      </c>
      <c r="B102" s="93"/>
      <c r="C102" s="89"/>
      <c r="D102" s="90"/>
      <c r="E102" s="91"/>
      <c r="F102" s="92"/>
      <c r="G102" s="80"/>
      <c r="H102" s="85"/>
      <c r="I102" s="81" t="str">
        <f t="shared" si="8"/>
        <v/>
      </c>
      <c r="J102" s="82" t="str">
        <f t="shared" si="9"/>
        <v/>
      </c>
      <c r="K102" s="83"/>
      <c r="L102" s="84"/>
      <c r="M102" s="118" t="str">
        <f t="shared" si="10"/>
        <v/>
      </c>
      <c r="N102" s="85"/>
      <c r="O102" s="85"/>
      <c r="P102" s="118" t="str">
        <f t="shared" si="11"/>
        <v/>
      </c>
      <c r="Q102" s="122" t="str">
        <f t="shared" si="12"/>
        <v/>
      </c>
      <c r="R102" s="85"/>
      <c r="S102" s="85"/>
      <c r="T102" s="86"/>
      <c r="U102" s="87" t="str">
        <f t="shared" si="13"/>
        <v/>
      </c>
      <c r="V102" s="88"/>
      <c r="Y102" s="218" t="str">
        <f t="shared" si="14"/>
        <v/>
      </c>
    </row>
    <row r="103" spans="1:25" x14ac:dyDescent="0.3">
      <c r="A103" s="4">
        <f t="shared" si="7"/>
        <v>93</v>
      </c>
      <c r="B103" s="85"/>
      <c r="C103" s="76"/>
      <c r="D103" s="77"/>
      <c r="E103" s="78"/>
      <c r="F103" s="79"/>
      <c r="G103" s="67"/>
      <c r="H103" s="93"/>
      <c r="I103" s="81" t="str">
        <f t="shared" si="8"/>
        <v/>
      </c>
      <c r="J103" s="82" t="str">
        <f t="shared" si="9"/>
        <v/>
      </c>
      <c r="K103" s="94"/>
      <c r="L103" s="95"/>
      <c r="M103" s="118" t="str">
        <f t="shared" si="10"/>
        <v/>
      </c>
      <c r="N103" s="93"/>
      <c r="O103" s="93"/>
      <c r="P103" s="118" t="str">
        <f t="shared" si="11"/>
        <v/>
      </c>
      <c r="Q103" s="122" t="str">
        <f t="shared" si="12"/>
        <v/>
      </c>
      <c r="R103" s="93"/>
      <c r="S103" s="93"/>
      <c r="T103" s="96"/>
      <c r="U103" s="87" t="str">
        <f t="shared" si="13"/>
        <v/>
      </c>
      <c r="V103" s="97"/>
      <c r="Y103" s="218" t="str">
        <f t="shared" si="14"/>
        <v/>
      </c>
    </row>
    <row r="104" spans="1:25" x14ac:dyDescent="0.3">
      <c r="A104" s="5">
        <f t="shared" si="7"/>
        <v>94</v>
      </c>
      <c r="B104" s="93"/>
      <c r="C104" s="89"/>
      <c r="D104" s="90"/>
      <c r="E104" s="91"/>
      <c r="F104" s="92"/>
      <c r="G104" s="80"/>
      <c r="H104" s="85"/>
      <c r="I104" s="81" t="str">
        <f t="shared" si="8"/>
        <v/>
      </c>
      <c r="J104" s="82" t="str">
        <f t="shared" si="9"/>
        <v/>
      </c>
      <c r="K104" s="83"/>
      <c r="L104" s="84"/>
      <c r="M104" s="118" t="str">
        <f t="shared" si="10"/>
        <v/>
      </c>
      <c r="N104" s="85"/>
      <c r="O104" s="85"/>
      <c r="P104" s="118" t="str">
        <f t="shared" si="11"/>
        <v/>
      </c>
      <c r="Q104" s="122" t="str">
        <f t="shared" si="12"/>
        <v/>
      </c>
      <c r="R104" s="85"/>
      <c r="S104" s="85"/>
      <c r="T104" s="86"/>
      <c r="U104" s="87" t="str">
        <f t="shared" si="13"/>
        <v/>
      </c>
      <c r="V104" s="88"/>
      <c r="Y104" s="218" t="str">
        <f t="shared" si="14"/>
        <v/>
      </c>
    </row>
    <row r="105" spans="1:25" x14ac:dyDescent="0.3">
      <c r="A105" s="4">
        <f t="shared" si="7"/>
        <v>95</v>
      </c>
      <c r="B105" s="85"/>
      <c r="C105" s="76"/>
      <c r="D105" s="77"/>
      <c r="E105" s="78"/>
      <c r="F105" s="79"/>
      <c r="G105" s="67"/>
      <c r="H105" s="93"/>
      <c r="I105" s="81" t="str">
        <f t="shared" si="8"/>
        <v/>
      </c>
      <c r="J105" s="82" t="str">
        <f t="shared" si="9"/>
        <v/>
      </c>
      <c r="K105" s="94"/>
      <c r="L105" s="95"/>
      <c r="M105" s="118" t="str">
        <f t="shared" si="10"/>
        <v/>
      </c>
      <c r="N105" s="93"/>
      <c r="O105" s="93"/>
      <c r="P105" s="118" t="str">
        <f t="shared" si="11"/>
        <v/>
      </c>
      <c r="Q105" s="122" t="str">
        <f t="shared" si="12"/>
        <v/>
      </c>
      <c r="R105" s="93"/>
      <c r="S105" s="93"/>
      <c r="T105" s="96"/>
      <c r="U105" s="87" t="str">
        <f t="shared" si="13"/>
        <v/>
      </c>
      <c r="V105" s="97"/>
      <c r="Y105" s="218" t="str">
        <f t="shared" si="14"/>
        <v/>
      </c>
    </row>
    <row r="106" spans="1:25" x14ac:dyDescent="0.3">
      <c r="A106" s="5">
        <f t="shared" si="7"/>
        <v>96</v>
      </c>
      <c r="B106" s="93"/>
      <c r="C106" s="89"/>
      <c r="D106" s="90"/>
      <c r="E106" s="91"/>
      <c r="F106" s="92"/>
      <c r="G106" s="80"/>
      <c r="H106" s="85"/>
      <c r="I106" s="81" t="str">
        <f t="shared" si="8"/>
        <v/>
      </c>
      <c r="J106" s="82" t="str">
        <f t="shared" si="9"/>
        <v/>
      </c>
      <c r="K106" s="83"/>
      <c r="L106" s="84"/>
      <c r="M106" s="118" t="str">
        <f t="shared" si="10"/>
        <v/>
      </c>
      <c r="N106" s="85"/>
      <c r="O106" s="85"/>
      <c r="P106" s="118" t="str">
        <f t="shared" si="11"/>
        <v/>
      </c>
      <c r="Q106" s="122" t="str">
        <f t="shared" si="12"/>
        <v/>
      </c>
      <c r="R106" s="85"/>
      <c r="S106" s="85"/>
      <c r="T106" s="86"/>
      <c r="U106" s="87" t="str">
        <f t="shared" si="13"/>
        <v/>
      </c>
      <c r="V106" s="88"/>
      <c r="Y106" s="218" t="str">
        <f t="shared" si="14"/>
        <v/>
      </c>
    </row>
    <row r="107" spans="1:25" x14ac:dyDescent="0.3">
      <c r="A107" s="4">
        <f t="shared" si="7"/>
        <v>97</v>
      </c>
      <c r="B107" s="85"/>
      <c r="C107" s="76"/>
      <c r="D107" s="77"/>
      <c r="E107" s="78"/>
      <c r="F107" s="79"/>
      <c r="G107" s="67"/>
      <c r="H107" s="93"/>
      <c r="I107" s="81" t="str">
        <f t="shared" si="8"/>
        <v/>
      </c>
      <c r="J107" s="82" t="str">
        <f t="shared" si="9"/>
        <v/>
      </c>
      <c r="K107" s="94"/>
      <c r="L107" s="95"/>
      <c r="M107" s="118" t="str">
        <f t="shared" si="10"/>
        <v/>
      </c>
      <c r="N107" s="93"/>
      <c r="O107" s="93"/>
      <c r="P107" s="118" t="str">
        <f t="shared" si="11"/>
        <v/>
      </c>
      <c r="Q107" s="122" t="str">
        <f t="shared" si="12"/>
        <v/>
      </c>
      <c r="R107" s="93"/>
      <c r="S107" s="93"/>
      <c r="T107" s="96"/>
      <c r="U107" s="87" t="str">
        <f t="shared" si="13"/>
        <v/>
      </c>
      <c r="V107" s="97"/>
      <c r="Y107" s="218" t="str">
        <f t="shared" si="14"/>
        <v/>
      </c>
    </row>
    <row r="108" spans="1:25" x14ac:dyDescent="0.3">
      <c r="A108" s="5">
        <f t="shared" si="7"/>
        <v>98</v>
      </c>
      <c r="B108" s="93"/>
      <c r="C108" s="89"/>
      <c r="D108" s="90"/>
      <c r="E108" s="91"/>
      <c r="F108" s="92"/>
      <c r="G108" s="80"/>
      <c r="H108" s="85"/>
      <c r="I108" s="81" t="str">
        <f t="shared" si="8"/>
        <v/>
      </c>
      <c r="J108" s="82" t="str">
        <f t="shared" si="9"/>
        <v/>
      </c>
      <c r="K108" s="83"/>
      <c r="L108" s="84"/>
      <c r="M108" s="118" t="str">
        <f t="shared" si="10"/>
        <v/>
      </c>
      <c r="N108" s="85"/>
      <c r="O108" s="85"/>
      <c r="P108" s="118" t="str">
        <f t="shared" si="11"/>
        <v/>
      </c>
      <c r="Q108" s="122" t="str">
        <f t="shared" si="12"/>
        <v/>
      </c>
      <c r="R108" s="85"/>
      <c r="S108" s="85"/>
      <c r="T108" s="86"/>
      <c r="U108" s="87" t="str">
        <f t="shared" si="13"/>
        <v/>
      </c>
      <c r="V108" s="88"/>
      <c r="Y108" s="218" t="str">
        <f t="shared" si="14"/>
        <v/>
      </c>
    </row>
    <row r="109" spans="1:25" x14ac:dyDescent="0.3">
      <c r="A109" s="4">
        <f t="shared" si="7"/>
        <v>99</v>
      </c>
      <c r="B109" s="85"/>
      <c r="C109" s="76"/>
      <c r="D109" s="77"/>
      <c r="E109" s="78"/>
      <c r="F109" s="79"/>
      <c r="G109" s="67"/>
      <c r="H109" s="93"/>
      <c r="I109" s="81" t="str">
        <f t="shared" si="8"/>
        <v/>
      </c>
      <c r="J109" s="82" t="str">
        <f t="shared" si="9"/>
        <v/>
      </c>
      <c r="K109" s="94"/>
      <c r="L109" s="95"/>
      <c r="M109" s="118" t="str">
        <f t="shared" si="10"/>
        <v/>
      </c>
      <c r="N109" s="93"/>
      <c r="O109" s="93"/>
      <c r="P109" s="118" t="str">
        <f t="shared" si="11"/>
        <v/>
      </c>
      <c r="Q109" s="122" t="str">
        <f t="shared" si="12"/>
        <v/>
      </c>
      <c r="R109" s="93"/>
      <c r="S109" s="93"/>
      <c r="T109" s="96"/>
      <c r="U109" s="87" t="str">
        <f t="shared" si="13"/>
        <v/>
      </c>
      <c r="V109" s="97"/>
      <c r="Y109" s="218" t="str">
        <f t="shared" si="14"/>
        <v/>
      </c>
    </row>
    <row r="110" spans="1:25" ht="15" thickBot="1" x14ac:dyDescent="0.35">
      <c r="A110" s="6">
        <v>100</v>
      </c>
      <c r="B110" s="192"/>
      <c r="C110" s="98"/>
      <c r="D110" s="99"/>
      <c r="E110" s="100"/>
      <c r="F110" s="101"/>
      <c r="G110" s="102"/>
      <c r="H110" s="103"/>
      <c r="I110" s="104" t="str">
        <f t="shared" si="8"/>
        <v/>
      </c>
      <c r="J110" s="105" t="str">
        <f t="shared" si="9"/>
        <v/>
      </c>
      <c r="K110" s="106"/>
      <c r="L110" s="107"/>
      <c r="M110" s="119" t="str">
        <f t="shared" si="10"/>
        <v/>
      </c>
      <c r="N110" s="103"/>
      <c r="O110" s="103"/>
      <c r="P110" s="119" t="str">
        <f t="shared" si="11"/>
        <v/>
      </c>
      <c r="Q110" s="123" t="str">
        <f t="shared" si="12"/>
        <v/>
      </c>
      <c r="R110" s="103"/>
      <c r="S110" s="103"/>
      <c r="T110" s="108"/>
      <c r="U110" s="109" t="str">
        <f t="shared" si="13"/>
        <v/>
      </c>
      <c r="V110" s="110"/>
      <c r="Y110" s="218" t="str">
        <f t="shared" si="14"/>
        <v/>
      </c>
    </row>
  </sheetData>
  <sheetProtection algorithmName="SHA-512" hashValue="J/+qb7z3RFRNQrlok5pOQHhC0f/6J+XSh1VbVRzDDc25kxfdHykGVsBmHZKjsj95c84PrXxBX4M4PdM084vywg==" saltValue="RuU6rs4HExs2qpIjOLKiCA==" spinCount="100000" sheet="1" objects="1" scenarios="1" formatColumns="0" formatRows="0" selectLockedCells="1" autoFilter="0"/>
  <autoFilter ref="C10:U110" xr:uid="{B1E0C3AE-0684-48D6-8DFD-528DDA524424}">
    <filterColumn colId="11" showButton="0"/>
  </autoFilter>
  <mergeCells count="25">
    <mergeCell ref="U6:V9"/>
    <mergeCell ref="A4:B4"/>
    <mergeCell ref="A6:B6"/>
    <mergeCell ref="A7:B7"/>
    <mergeCell ref="A8:B8"/>
    <mergeCell ref="A9:B9"/>
    <mergeCell ref="A5:B5"/>
    <mergeCell ref="D7:E7"/>
    <mergeCell ref="K8:K9"/>
    <mergeCell ref="L8:L9"/>
    <mergeCell ref="J5:J9"/>
    <mergeCell ref="F5:I6"/>
    <mergeCell ref="K5:P6"/>
    <mergeCell ref="N10:O10"/>
    <mergeCell ref="A3:B3"/>
    <mergeCell ref="Q6:T9"/>
    <mergeCell ref="G4:H4"/>
    <mergeCell ref="F7:F9"/>
    <mergeCell ref="G7:G9"/>
    <mergeCell ref="H7:H9"/>
    <mergeCell ref="I7:I9"/>
    <mergeCell ref="M8:M9"/>
    <mergeCell ref="N8:O9"/>
    <mergeCell ref="P8:P9"/>
    <mergeCell ref="N7:O7"/>
  </mergeCells>
  <conditionalFormatting sqref="C5">
    <cfRule type="containsText" dxfId="36" priority="38" operator="containsText" text="[enter school school id here]">
      <formula>NOT(ISERROR(SEARCH("[enter school school id here]",C5)))</formula>
    </cfRule>
  </conditionalFormatting>
  <conditionalFormatting sqref="C6">
    <cfRule type="containsText" dxfId="35" priority="40" operator="containsText" text="[enter teacher name here]">
      <formula>NOT(ISERROR(SEARCH("[enter teacher name here]",C6)))</formula>
    </cfRule>
  </conditionalFormatting>
  <conditionalFormatting sqref="C9">
    <cfRule type="containsText" dxfId="34" priority="17" operator="containsText" text="[choose language here]">
      <formula>NOT(ISERROR(SEARCH("[choose language here]",C9)))</formula>
    </cfRule>
  </conditionalFormatting>
  <conditionalFormatting sqref="D9:E9">
    <cfRule type="expression" dxfId="33" priority="5">
      <formula>$X$9=1</formula>
    </cfRule>
  </conditionalFormatting>
  <conditionalFormatting sqref="G11:G110">
    <cfRule type="expression" dxfId="32" priority="9">
      <formula>$F11 &gt; 6</formula>
    </cfRule>
  </conditionalFormatting>
  <conditionalFormatting sqref="H11:H110">
    <cfRule type="expression" dxfId="31" priority="8">
      <formula>$F11 &lt; 7</formula>
    </cfRule>
  </conditionalFormatting>
  <conditionalFormatting sqref="I4">
    <cfRule type="cellIs" dxfId="30" priority="16" operator="notEqual">
      <formula>$F$4</formula>
    </cfRule>
    <cfRule type="cellIs" dxfId="29" priority="47" operator="lessThan">
      <formula>#REF!+#REF!</formula>
    </cfRule>
    <cfRule type="cellIs" dxfId="28" priority="48" operator="lessThan">
      <formula>#REF!+#REF!</formula>
    </cfRule>
  </conditionalFormatting>
  <conditionalFormatting sqref="J11:J110">
    <cfRule type="containsText" dxfId="27" priority="4" operator="containsText" text="Full">
      <formula>NOT(ISERROR(SEARCH("Full",J11)))</formula>
    </cfRule>
  </conditionalFormatting>
  <conditionalFormatting sqref="K11:T110">
    <cfRule type="expression" dxfId="26" priority="6">
      <formula>$J11="Full Refresher"</formula>
    </cfRule>
  </conditionalFormatting>
  <conditionalFormatting sqref="U11:U110">
    <cfRule type="containsText" dxfId="25" priority="1" operator="containsText" text="Grade Level">
      <formula>NOT(ISERROR(SEARCH("Grade Level",U11)))</formula>
    </cfRule>
    <cfRule type="containsText" dxfId="24" priority="2" operator="containsText" text="High Emerging">
      <formula>NOT(ISERROR(SEARCH("High Emerging",U11)))</formula>
    </cfRule>
    <cfRule type="containsText" dxfId="23" priority="3" operator="containsText" text="Low">
      <formula>NOT(ISERROR(SEARCH("Low",U11)))</formula>
    </cfRule>
    <cfRule type="expression" dxfId="22" priority="7">
      <formula>AND($J11="Grade Ready",#REF!="Full Intervention")</formula>
    </cfRule>
  </conditionalFormatting>
  <dataValidations count="21">
    <dataValidation type="list" allowBlank="1" showInputMessage="1" showErrorMessage="1" sqref="D11:D110" xr:uid="{D43FA963-B325-4739-A6DA-20FE83EEFFEA}">
      <formula1>"Male, Female"</formula1>
    </dataValidation>
    <dataValidation type="date" errorStyle="warning" allowBlank="1" showInputMessage="1" showErrorMessage="1" error="Enter the Date of Assessment in Correct Format (mm/dd/yy)" sqref="E11:E110" xr:uid="{4B522AE8-7D24-4086-84FD-D28204B79AF6}">
      <formula1>44197</formula1>
      <formula2>55153</formula2>
    </dataValidation>
    <dataValidation type="whole" allowBlank="1" showInputMessage="1" showErrorMessage="1" error="Enter Score between 0 to 10" sqref="F11:F110" xr:uid="{D80C148B-17C3-4F5F-8209-981D1E870A82}">
      <formula1>0</formula1>
      <formula2>10</formula2>
    </dataValidation>
    <dataValidation allowBlank="1" showInputMessage="1" showErrorMessage="1" prompt="Choose Language here" sqref="G4" xr:uid="{A105DBFF-9C87-49B4-AB08-116366447960}"/>
    <dataValidation type="whole" allowBlank="1" showInputMessage="1" showErrorMessage="1" error="Enter the 6-digit School ID" sqref="A5 C4" xr:uid="{A4DF3FCA-BA54-4679-A2E9-4C533292F950}">
      <formula1>100000</formula1>
      <formula2>999999</formula2>
    </dataValidation>
    <dataValidation type="textLength" operator="greaterThan" showInputMessage="1" showErrorMessage="1" error="Enter School Name" sqref="C5" xr:uid="{E7FDC1D6-C6DA-4C58-AFFB-9BF158DB5BA5}">
      <formula1>5</formula1>
    </dataValidation>
    <dataValidation operator="lessThanOrEqual" allowBlank="1" showInputMessage="1" showErrorMessage="1" sqref="I4" xr:uid="{1988E627-0CD2-4A57-92D9-7A971170D53B}"/>
    <dataValidation type="whole" allowBlank="1" showInputMessage="1" showErrorMessage="1" sqref="D6:E6" xr:uid="{4DE5A52A-8687-4F24-BB85-34589BBAF539}">
      <formula1>0</formula1>
      <formula2>100</formula2>
    </dataValidation>
    <dataValidation type="list" allowBlank="1" showInputMessage="1" showErrorMessage="1" error="Enter Level between 1 to 4" sqref="T11:T110" xr:uid="{4C257570-0BED-4566-ABE2-D8F53AC775DC}">
      <formula1>"Level 1, Level 2, Level 3, Level 4"</formula1>
    </dataValidation>
    <dataValidation type="whole" allowBlank="1" showInputMessage="1" showErrorMessage="1" error="Enter Leaner Experience from 1 - 5" sqref="S11:S110" xr:uid="{3A47F974-BB55-4FE2-B112-E7A60DE3DFBB}">
      <formula1>1</formula1>
      <formula2>5</formula2>
    </dataValidation>
    <dataValidation type="whole" allowBlank="1" showInputMessage="1" showErrorMessage="1" errorTitle="Error Message" error="Number of seconds between 0 to 59" sqref="O11:O110" xr:uid="{B0A077BF-B7A1-4D35-A523-EF73DD299C15}">
      <formula1>0</formula1>
      <formula2>59</formula2>
    </dataValidation>
    <dataValidation type="whole" allowBlank="1" showInputMessage="1" showErrorMessage="1" error="Story 1 or 2" sqref="K11:K110" xr:uid="{134984A4-C2D8-44C1-98BC-2988AED61F25}">
      <formula1>1</formula1>
      <formula2>2</formula2>
    </dataValidation>
    <dataValidation allowBlank="1" showInputMessage="1" showErrorMessage="1" error="Enter Level between 1 to 4" sqref="U11:V11 U12:U110" xr:uid="{53A5CABB-FD73-44F1-A9E4-D43743067ADA}"/>
    <dataValidation type="whole" allowBlank="1" showInputMessage="1" showErrorMessage="1" errorTitle="Error Message" error="Must not exceed 2 minutes" sqref="N11:N110" xr:uid="{780F73A6-734C-43B1-BE39-1CBDD0FB4022}">
      <formula1>0</formula1>
      <formula2>2</formula2>
    </dataValidation>
    <dataValidation operator="lessThanOrEqual" allowBlank="1" showInputMessage="1" showErrorMessage="1" errorTitle="Error Message" error="Total Number of Words must be less than or equal to 96" sqref="M11:M110" xr:uid="{9F868BC9-9DC4-4989-9856-03382B5EA6DB}"/>
    <dataValidation type="whole" allowBlank="1" showInputMessage="1" showErrorMessage="1" error="Enter Answer between 0 to 6" sqref="R11:R110" xr:uid="{C40558E3-4322-4919-9E64-07E0DE63333C}">
      <formula1>0</formula1>
      <formula2>6</formula2>
    </dataValidation>
    <dataValidation type="custom" allowBlank="1" showInputMessage="1" showErrorMessage="1" errorTitle="Error Message" error="Enter value less than or equal to 10_x000a_If Task 1 score is less than 7, Sentences should be left blank or empty." sqref="H11:H110" xr:uid="{984D4D04-64D8-414D-A482-1A14DF20B23E}">
      <formula1>AND( $F11 &gt; 6, $H11 &lt;11)</formula1>
    </dataValidation>
    <dataValidation type="list" allowBlank="1" showInputMessage="1" showErrorMessage="1" sqref="C3" xr:uid="{BE42E743-0818-4A44-8469-85F599B6DC45}">
      <formula1>"BoSY, MoSY, EoSY"</formula1>
    </dataValidation>
    <dataValidation type="whole" allowBlank="1" showInputMessage="1" showErrorMessage="1" error="Enter Number of Miscue" sqref="L11:L110" xr:uid="{2C89D9F3-1585-49AF-A2B7-DF268BEF0E7E}">
      <formula1>0</formula1>
      <formula2>96</formula2>
    </dataValidation>
    <dataValidation type="whole" allowBlank="1" showInputMessage="1" showErrorMessage="1" error="Total Words per Story must be between 94 to 96" sqref="D9:E9" xr:uid="{0A4D4B25-FACB-4655-AD5A-C17EA999C70C}">
      <formula1>94</formula1>
      <formula2>96</formula2>
    </dataValidation>
    <dataValidation type="custom" allowBlank="1" showInputMessage="1" showErrorMessage="1" errorTitle="Error Message" error="Enter value less than equal to10_x000a_If Task 1 score is greater than 6, Words should be left blank or empty." sqref="G11:G110" xr:uid="{5072744A-8D8F-4802-BEFE-93BF3FA1292C}">
      <formula1>AND($F11 &lt; 7, $G11 &lt;11)</formula1>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Choose Language here" xr:uid="{4E65363B-3B51-4909-B08B-19FCED193081}">
          <x14:formula1>
            <xm:f>List!$C$2:$C$35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9186-D64B-48AE-9C3E-F701817A280D}">
  <sheetPr codeName="Sheet5"/>
  <dimension ref="A1:XFC115"/>
  <sheetViews>
    <sheetView workbookViewId="0">
      <pane xSplit="3" ySplit="10" topLeftCell="K22" activePane="bottomRight" state="frozen"/>
      <selection pane="topRight" activeCell="D1" sqref="D1"/>
      <selection pane="bottomLeft" activeCell="A9" sqref="A9"/>
      <selection pane="bottomRight" activeCell="F14" sqref="F14"/>
    </sheetView>
  </sheetViews>
  <sheetFormatPr defaultColWidth="10.6640625" defaultRowHeight="0" customHeight="1" zeroHeight="1" x14ac:dyDescent="0.3"/>
  <cols>
    <col min="1" max="1" width="4.77734375" customWidth="1"/>
    <col min="2" max="2" width="15.44140625" style="3" customWidth="1"/>
    <col min="3" max="3" width="27.5546875" customWidth="1"/>
    <col min="4" max="4" width="12.109375" style="1" customWidth="1"/>
    <col min="5" max="5" width="11.6640625" style="1" customWidth="1"/>
    <col min="6" max="6" width="10.33203125" style="1" customWidth="1"/>
    <col min="7" max="7" width="10.5546875" style="1" customWidth="1"/>
    <col min="8" max="8" width="9.44140625" style="1" customWidth="1"/>
    <col min="9" max="9" width="9.109375" style="1" customWidth="1"/>
    <col min="10" max="10" width="19.6640625" style="2" customWidth="1"/>
    <col min="11" max="11" width="10" style="1" customWidth="1"/>
    <col min="12" max="12" width="8.6640625" style="1" customWidth="1"/>
    <col min="13" max="13" width="9.5546875" style="1" customWidth="1"/>
    <col min="14" max="14" width="6.109375" style="1" customWidth="1"/>
    <col min="15" max="15" width="5.109375" style="1" customWidth="1"/>
    <col min="16" max="16" width="10.33203125" style="1" customWidth="1"/>
    <col min="17" max="17" width="9.5546875" style="1" customWidth="1"/>
    <col min="18" max="18" width="10.88671875" style="1" customWidth="1"/>
    <col min="19" max="19" width="11.77734375" style="1" customWidth="1"/>
    <col min="20" max="20" width="10.77734375" style="1" customWidth="1"/>
    <col min="21" max="21" width="21" style="1" customWidth="1"/>
    <col min="22" max="22" width="34" customWidth="1"/>
    <col min="23" max="23" width="8.88671875" customWidth="1"/>
    <col min="24" max="16383" width="10.6640625" hidden="1" customWidth="1"/>
  </cols>
  <sheetData>
    <row r="1" spans="1:26" ht="22.2" customHeight="1" x14ac:dyDescent="0.3">
      <c r="A1" t="s">
        <v>188</v>
      </c>
    </row>
    <row r="2" spans="1:26" ht="18" customHeight="1" thickBot="1" x14ac:dyDescent="0.35"/>
    <row r="3" spans="1:26" ht="27" customHeight="1" thickBot="1" x14ac:dyDescent="0.35">
      <c r="A3" s="284" t="s">
        <v>110</v>
      </c>
      <c r="B3" s="285"/>
      <c r="C3" s="140">
        <f>'G2 MT Reading Scoresheet'!$C$3</f>
        <v>0</v>
      </c>
    </row>
    <row r="4" spans="1:26" ht="18.600000000000001" customHeight="1" thickBot="1" x14ac:dyDescent="0.35">
      <c r="A4" s="306" t="s">
        <v>4</v>
      </c>
      <c r="B4" s="307"/>
      <c r="C4" s="146">
        <f>'G2 MT Reading Scoresheet'!C4</f>
        <v>0</v>
      </c>
      <c r="D4" s="335" t="s">
        <v>85</v>
      </c>
      <c r="E4" s="336"/>
      <c r="F4" s="124">
        <f>D6+E6</f>
        <v>0</v>
      </c>
      <c r="G4" s="292" t="s">
        <v>83</v>
      </c>
      <c r="H4" s="292"/>
      <c r="I4" s="125">
        <f>COUNTIF(F11:F110,"&lt;&gt;")</f>
        <v>100</v>
      </c>
      <c r="J4" s="61"/>
      <c r="K4" s="112"/>
      <c r="L4" s="112"/>
      <c r="M4" s="112"/>
      <c r="N4" s="112"/>
      <c r="O4" s="112"/>
      <c r="P4" s="112"/>
      <c r="Q4" s="112"/>
      <c r="R4" s="112"/>
      <c r="S4" s="112"/>
      <c r="T4" s="112"/>
      <c r="U4" s="112"/>
      <c r="V4" s="113"/>
    </row>
    <row r="5" spans="1:26" ht="18" customHeight="1" x14ac:dyDescent="0.3">
      <c r="A5" s="312" t="s">
        <v>70</v>
      </c>
      <c r="B5" s="327"/>
      <c r="C5" s="147">
        <f>'G2 MT Reading Scoresheet'!C5</f>
        <v>0</v>
      </c>
      <c r="D5" s="142" t="s">
        <v>80</v>
      </c>
      <c r="E5" s="139" t="s">
        <v>81</v>
      </c>
      <c r="F5" s="328" t="s">
        <v>112</v>
      </c>
      <c r="G5" s="329"/>
      <c r="H5" s="329"/>
      <c r="I5" s="329"/>
      <c r="J5" s="317" t="s">
        <v>177</v>
      </c>
      <c r="K5" s="323" t="s">
        <v>132</v>
      </c>
      <c r="L5" s="324"/>
      <c r="M5" s="324"/>
      <c r="N5" s="324"/>
      <c r="O5" s="324"/>
      <c r="P5" s="324"/>
      <c r="Q5" s="114"/>
      <c r="R5" s="114"/>
      <c r="S5" s="114"/>
      <c r="T5" s="114"/>
      <c r="U5" s="114"/>
      <c r="V5" s="115"/>
    </row>
    <row r="6" spans="1:26" ht="19.8" customHeight="1" x14ac:dyDescent="0.3">
      <c r="A6" s="308" t="s">
        <v>1</v>
      </c>
      <c r="B6" s="309"/>
      <c r="C6" s="147">
        <f>'G2 MT Reading Scoresheet'!C6</f>
        <v>0</v>
      </c>
      <c r="D6" s="143">
        <f>'G2 MT Reading Scoresheet'!D6</f>
        <v>0</v>
      </c>
      <c r="E6" s="128">
        <f>'G2 MT Reading Scoresheet'!E6</f>
        <v>0</v>
      </c>
      <c r="F6" s="330"/>
      <c r="G6" s="331"/>
      <c r="H6" s="331"/>
      <c r="I6" s="331"/>
      <c r="J6" s="318"/>
      <c r="K6" s="325"/>
      <c r="L6" s="326"/>
      <c r="M6" s="326"/>
      <c r="N6" s="326"/>
      <c r="O6" s="326"/>
      <c r="P6" s="326"/>
      <c r="Q6" s="286"/>
      <c r="R6" s="287"/>
      <c r="S6" s="287"/>
      <c r="T6" s="288"/>
      <c r="U6" s="290"/>
      <c r="V6" s="291"/>
    </row>
    <row r="7" spans="1:26" ht="29.4" customHeight="1" x14ac:dyDescent="0.3">
      <c r="A7" s="308" t="s">
        <v>2</v>
      </c>
      <c r="B7" s="309"/>
      <c r="C7" s="147" t="str">
        <f>'G2 MT Reading Scoresheet'!C7</f>
        <v>Grade 2</v>
      </c>
      <c r="D7" s="332" t="s">
        <v>115</v>
      </c>
      <c r="E7" s="333"/>
      <c r="F7" s="294" t="s">
        <v>189</v>
      </c>
      <c r="G7" s="296" t="s">
        <v>86</v>
      </c>
      <c r="H7" s="296" t="s">
        <v>174</v>
      </c>
      <c r="I7" s="296" t="s">
        <v>175</v>
      </c>
      <c r="J7" s="318"/>
      <c r="K7" s="126" t="s">
        <v>131</v>
      </c>
      <c r="L7" s="127" t="s">
        <v>113</v>
      </c>
      <c r="M7" s="117">
        <f>_xlfn.IFNA(IF(X9=1,Y9,D9),"")</f>
        <v>96</v>
      </c>
      <c r="N7" s="305" t="s">
        <v>114</v>
      </c>
      <c r="O7" s="305"/>
      <c r="P7" s="117">
        <f>_xlfn.IFNA(IF(X9=1,Z9,E9),"")</f>
        <v>95</v>
      </c>
      <c r="Q7" s="289"/>
      <c r="R7" s="290"/>
      <c r="S7" s="290"/>
      <c r="T7" s="291"/>
      <c r="U7" s="290"/>
      <c r="V7" s="291"/>
    </row>
    <row r="8" spans="1:26" ht="17.399999999999999" customHeight="1" x14ac:dyDescent="0.3">
      <c r="A8" s="308" t="s">
        <v>19</v>
      </c>
      <c r="B8" s="309"/>
      <c r="C8" s="147">
        <f>'G2 MT Reading Scoresheet'!C8</f>
        <v>0</v>
      </c>
      <c r="D8" s="144" t="s">
        <v>113</v>
      </c>
      <c r="E8" s="141" t="s">
        <v>114</v>
      </c>
      <c r="F8" s="334"/>
      <c r="G8" s="297"/>
      <c r="H8" s="297"/>
      <c r="I8" s="297"/>
      <c r="J8" s="318"/>
      <c r="K8" s="294" t="s">
        <v>90</v>
      </c>
      <c r="L8" s="296" t="s">
        <v>130</v>
      </c>
      <c r="M8" s="296" t="s">
        <v>106</v>
      </c>
      <c r="N8" s="299" t="s">
        <v>104</v>
      </c>
      <c r="O8" s="300"/>
      <c r="P8" s="303" t="s">
        <v>94</v>
      </c>
      <c r="Q8" s="289"/>
      <c r="R8" s="290"/>
      <c r="S8" s="290"/>
      <c r="T8" s="291"/>
      <c r="U8" s="290"/>
      <c r="V8" s="291"/>
    </row>
    <row r="9" spans="1:26" ht="20.399999999999999" customHeight="1" thickBot="1" x14ac:dyDescent="0.35">
      <c r="A9" s="310" t="s">
        <v>5</v>
      </c>
      <c r="B9" s="311"/>
      <c r="C9" s="148" t="s">
        <v>108</v>
      </c>
      <c r="D9" s="145"/>
      <c r="E9" s="129"/>
      <c r="F9" s="316"/>
      <c r="G9" s="298"/>
      <c r="H9" s="298"/>
      <c r="I9" s="298"/>
      <c r="J9" s="318"/>
      <c r="K9" s="316"/>
      <c r="L9" s="298"/>
      <c r="M9" s="298"/>
      <c r="N9" s="301"/>
      <c r="O9" s="302"/>
      <c r="P9" s="304"/>
      <c r="Q9" s="289"/>
      <c r="R9" s="290"/>
      <c r="S9" s="290"/>
      <c r="T9" s="291"/>
      <c r="U9" s="290"/>
      <c r="V9" s="291"/>
      <c r="X9" s="111">
        <f>IF(_xlfn.IFNA(VLOOKUP($C$9,List!$G$2:$M$20,1,0),"")=C9,1,0)</f>
        <v>1</v>
      </c>
      <c r="Y9" s="111">
        <f>VLOOKUP($C$9,List!$G$2:$M$20,4,0)</f>
        <v>96</v>
      </c>
      <c r="Z9" s="111">
        <f>VLOOKUP($C$9,List!$G$2:$M$20,7,0)</f>
        <v>95</v>
      </c>
    </row>
    <row r="10" spans="1:26" ht="35.4" customHeight="1" thickBot="1" x14ac:dyDescent="0.35">
      <c r="A10" s="22" t="s">
        <v>9</v>
      </c>
      <c r="B10" s="23" t="s">
        <v>33</v>
      </c>
      <c r="C10" s="18" t="s">
        <v>10</v>
      </c>
      <c r="D10" s="24" t="s">
        <v>30</v>
      </c>
      <c r="E10" s="25" t="s">
        <v>11</v>
      </c>
      <c r="F10" s="130" t="s">
        <v>6</v>
      </c>
      <c r="G10" s="26" t="s">
        <v>147</v>
      </c>
      <c r="H10" s="26" t="s">
        <v>105</v>
      </c>
      <c r="I10" s="26" t="s">
        <v>7</v>
      </c>
      <c r="J10" s="19" t="s">
        <v>91</v>
      </c>
      <c r="K10" s="27" t="s">
        <v>87</v>
      </c>
      <c r="L10" s="116" t="s">
        <v>133</v>
      </c>
      <c r="M10" s="42" t="s">
        <v>88</v>
      </c>
      <c r="N10" s="283" t="s">
        <v>92</v>
      </c>
      <c r="O10" s="283"/>
      <c r="P10" s="42" t="s">
        <v>93</v>
      </c>
      <c r="Q10" s="28" t="s">
        <v>134</v>
      </c>
      <c r="R10" s="42" t="s">
        <v>89</v>
      </c>
      <c r="S10" s="28" t="s">
        <v>146</v>
      </c>
      <c r="T10" s="29" t="s">
        <v>135</v>
      </c>
      <c r="U10" s="59" t="s">
        <v>102</v>
      </c>
      <c r="V10" s="17" t="s">
        <v>8</v>
      </c>
    </row>
    <row r="11" spans="1:26" ht="14.4" x14ac:dyDescent="0.3">
      <c r="A11" s="12">
        <v>1</v>
      </c>
      <c r="B11" s="120" t="str">
        <f>IF('G2 MT Reading Scoresheet'!B11&lt;&gt;"",'G2 MT Reading Scoresheet'!B11,"")</f>
        <v/>
      </c>
      <c r="C11" s="131" t="str">
        <f>IF('G2 MT Reading Scoresheet'!C11&lt;&gt;"",'G2 MT Reading Scoresheet'!C11,"")</f>
        <v/>
      </c>
      <c r="D11" s="120" t="str">
        <f>IF('G2 MT Reading Scoresheet'!D11&lt;&gt;"",'G2 MT Reading Scoresheet'!D11,"")</f>
        <v/>
      </c>
      <c r="E11" s="132" t="str">
        <f>IF('G2 MT Reading Scoresheet'!E11&lt;&gt;"",'G2 MT Reading Scoresheet'!E11,"")</f>
        <v/>
      </c>
      <c r="F11" s="254" t="str">
        <f>IF('G2 MT Reading Scoresheet'!F11&lt;&gt;"",'G2 MT Reading Scoresheet'!F11,"")</f>
        <v/>
      </c>
      <c r="G11" s="255" t="str">
        <f>IF('G2 MT Reading Scoresheet'!G11&lt;&gt;"",'G2 MT Reading Scoresheet'!G11,"")</f>
        <v/>
      </c>
      <c r="H11" s="255" t="str">
        <f>IF('G2 MT Reading Scoresheet'!H11&lt;&gt;"",'G2 MT Reading Scoresheet'!H11,"")</f>
        <v/>
      </c>
      <c r="I11" s="68" t="str">
        <f>IF('G2 MT Reading Scoresheet'!I11&lt;&gt;"",'G2 MT Reading Scoresheet'!I11,"")</f>
        <v/>
      </c>
      <c r="J11" s="69" t="str">
        <f>IF('G2 MT Reading Scoresheet'!J11&lt;&gt;"",'G2 MT Reading Scoresheet'!J11,"")</f>
        <v/>
      </c>
      <c r="K11" s="256" t="str">
        <f>IF('G2 MT Reading Scoresheet'!K11&lt;&gt;"",'G2 MT Reading Scoresheet'!K11,"")</f>
        <v/>
      </c>
      <c r="L11" s="257" t="str">
        <f>IF('G2 MT Reading Scoresheet'!L11&lt;&gt;"",'G2 MT Reading Scoresheet'!L11,"")</f>
        <v/>
      </c>
      <c r="M11" s="120" t="str">
        <f>IF('G2 MT Reading Scoresheet'!M11&lt;&gt;"",'G2 MT Reading Scoresheet'!M11,"")</f>
        <v/>
      </c>
      <c r="N11" s="258" t="str">
        <f>IF('G2 MT Reading Scoresheet'!N11&lt;&gt;"",'G2 MT Reading Scoresheet'!N11,"")</f>
        <v/>
      </c>
      <c r="O11" s="258" t="str">
        <f>IF('G2 MT Reading Scoresheet'!O11&lt;&gt;"",'G2 MT Reading Scoresheet'!O11,"")</f>
        <v/>
      </c>
      <c r="P11" s="120" t="str">
        <f>IF('G2 MT Reading Scoresheet'!P11&lt;&gt;"",'G2 MT Reading Scoresheet'!P11,"")</f>
        <v/>
      </c>
      <c r="Q11" s="121" t="str">
        <f>IF('G2 MT Reading Scoresheet'!Q11&lt;&gt;"",'G2 MT Reading Scoresheet'!Q11,"")</f>
        <v/>
      </c>
      <c r="R11" s="258" t="str">
        <f>IF('G2 MT Reading Scoresheet'!R11&lt;&gt;"",'G2 MT Reading Scoresheet'!R11,"")</f>
        <v/>
      </c>
      <c r="S11" s="258" t="str">
        <f>IF('G2 MT Reading Scoresheet'!S11&lt;&gt;"",'G2 MT Reading Scoresheet'!S11,"")</f>
        <v/>
      </c>
      <c r="T11" s="259" t="str">
        <f>IF('G2 MT Reading Scoresheet'!T11&lt;&gt;"",'G2 MT Reading Scoresheet'!T11,"")</f>
        <v/>
      </c>
      <c r="U11" s="74" t="str">
        <f>IF('G2 MT Reading Scoresheet'!U11&lt;&gt;"",'G2 MT Reading Scoresheet'!U11,"")</f>
        <v/>
      </c>
      <c r="V11" s="260"/>
      <c r="Y11" s="218" t="str">
        <f>IF(C11&lt;&gt;"",R11/6,"")</f>
        <v/>
      </c>
    </row>
    <row r="12" spans="1:26" ht="14.4" x14ac:dyDescent="0.3">
      <c r="A12" s="4">
        <v>2</v>
      </c>
      <c r="B12" s="118" t="str">
        <f>IF('G2 MT Reading Scoresheet'!B12&lt;&gt;"",'G2 MT Reading Scoresheet'!B12,"")</f>
        <v/>
      </c>
      <c r="C12" s="133" t="str">
        <f>IF('G2 MT Reading Scoresheet'!C12&lt;&gt;"",'G2 MT Reading Scoresheet'!C12,"")</f>
        <v/>
      </c>
      <c r="D12" s="134" t="str">
        <f>IF('G2 MT Reading Scoresheet'!D12&lt;&gt;"",'G2 MT Reading Scoresheet'!D12,"")</f>
        <v/>
      </c>
      <c r="E12" s="135" t="str">
        <f>IF('G2 MT Reading Scoresheet'!E12&lt;&gt;"",'G2 MT Reading Scoresheet'!E12,"")</f>
        <v/>
      </c>
      <c r="F12" s="261" t="str">
        <f>IF('G2 MT Reading Scoresheet'!F12&lt;&gt;"",'G2 MT Reading Scoresheet'!F12,"")</f>
        <v/>
      </c>
      <c r="G12" s="262" t="str">
        <f>IF('G2 MT Reading Scoresheet'!G12&lt;&gt;"",'G2 MT Reading Scoresheet'!G12,"")</f>
        <v/>
      </c>
      <c r="H12" s="262" t="str">
        <f>IF('G2 MT Reading Scoresheet'!H12&lt;&gt;"",'G2 MT Reading Scoresheet'!H12,"")</f>
        <v/>
      </c>
      <c r="I12" s="81" t="str">
        <f>IF('G2 MT Reading Scoresheet'!I12&lt;&gt;"",'G2 MT Reading Scoresheet'!I12,"")</f>
        <v/>
      </c>
      <c r="J12" s="82" t="str">
        <f>IF('G2 MT Reading Scoresheet'!J12&lt;&gt;"",'G2 MT Reading Scoresheet'!J12,"")</f>
        <v/>
      </c>
      <c r="K12" s="263" t="str">
        <f>IF('G2 MT Reading Scoresheet'!K12&lt;&gt;"",'G2 MT Reading Scoresheet'!K12,"")</f>
        <v/>
      </c>
      <c r="L12" s="87" t="str">
        <f>IF('G2 MT Reading Scoresheet'!L12&lt;&gt;"",'G2 MT Reading Scoresheet'!L12,"")</f>
        <v/>
      </c>
      <c r="M12" s="118" t="str">
        <f>IF('G2 MT Reading Scoresheet'!M12&lt;&gt;"",'G2 MT Reading Scoresheet'!M12,"")</f>
        <v/>
      </c>
      <c r="N12" s="81" t="str">
        <f>IF('G2 MT Reading Scoresheet'!N12&lt;&gt;"",'G2 MT Reading Scoresheet'!N12,"")</f>
        <v/>
      </c>
      <c r="O12" s="81" t="str">
        <f>IF('G2 MT Reading Scoresheet'!O12&lt;&gt;"",'G2 MT Reading Scoresheet'!O12,"")</f>
        <v/>
      </c>
      <c r="P12" s="118" t="str">
        <f>IF('G2 MT Reading Scoresheet'!P12&lt;&gt;"",'G2 MT Reading Scoresheet'!P12,"")</f>
        <v/>
      </c>
      <c r="Q12" s="122" t="str">
        <f>IF('G2 MT Reading Scoresheet'!Q12&lt;&gt;"",'G2 MT Reading Scoresheet'!Q12,"")</f>
        <v/>
      </c>
      <c r="R12" s="81" t="str">
        <f>IF('G2 MT Reading Scoresheet'!R12&lt;&gt;"",'G2 MT Reading Scoresheet'!R12,"")</f>
        <v/>
      </c>
      <c r="S12" s="81" t="str">
        <f>IF('G2 MT Reading Scoresheet'!S12&lt;&gt;"",'G2 MT Reading Scoresheet'!S12,"")</f>
        <v/>
      </c>
      <c r="T12" s="82" t="str">
        <f>IF('G2 MT Reading Scoresheet'!T12&lt;&gt;"",'G2 MT Reading Scoresheet'!T12,"")</f>
        <v/>
      </c>
      <c r="U12" s="87" t="str">
        <f>IF('G2 MT Reading Scoresheet'!U12&lt;&gt;"",'G2 MT Reading Scoresheet'!U12,"")</f>
        <v/>
      </c>
      <c r="V12" s="264"/>
      <c r="Y12" s="218" t="str">
        <f t="shared" ref="Y12:Y75" si="0">IF(C12&lt;&gt;"",R12/6,"")</f>
        <v/>
      </c>
    </row>
    <row r="13" spans="1:26" ht="14.4" x14ac:dyDescent="0.3">
      <c r="A13" s="5">
        <v>3</v>
      </c>
      <c r="B13" s="118" t="str">
        <f>IF('G2 MT Reading Scoresheet'!B13&lt;&gt;"",'G2 MT Reading Scoresheet'!B13,"")</f>
        <v/>
      </c>
      <c r="C13" s="133" t="str">
        <f>IF('G2 MT Reading Scoresheet'!C13&lt;&gt;"",'G2 MT Reading Scoresheet'!C13,"")</f>
        <v/>
      </c>
      <c r="D13" s="134" t="str">
        <f>IF('G2 MT Reading Scoresheet'!D13&lt;&gt;"",'G2 MT Reading Scoresheet'!D13,"")</f>
        <v/>
      </c>
      <c r="E13" s="135" t="str">
        <f>IF('G2 MT Reading Scoresheet'!E13&lt;&gt;"",'G2 MT Reading Scoresheet'!E13,"")</f>
        <v/>
      </c>
      <c r="F13" s="265" t="str">
        <f>IF('G2 MT Reading Scoresheet'!F13&lt;&gt;"",'G2 MT Reading Scoresheet'!F13,"")</f>
        <v/>
      </c>
      <c r="G13" s="255" t="str">
        <f>IF('G2 MT Reading Scoresheet'!G13&lt;&gt;"",'G2 MT Reading Scoresheet'!G13,"")</f>
        <v/>
      </c>
      <c r="H13" s="266" t="str">
        <f>IF('G2 MT Reading Scoresheet'!H13&lt;&gt;"",'G2 MT Reading Scoresheet'!H13,"")</f>
        <v/>
      </c>
      <c r="I13" s="81" t="str">
        <f>IF('G2 MT Reading Scoresheet'!I13&lt;&gt;"",'G2 MT Reading Scoresheet'!I13,"")</f>
        <v/>
      </c>
      <c r="J13" s="82" t="str">
        <f>IF('G2 MT Reading Scoresheet'!J13&lt;&gt;"",'G2 MT Reading Scoresheet'!J13,"")</f>
        <v/>
      </c>
      <c r="K13" s="267" t="str">
        <f>IF('G2 MT Reading Scoresheet'!K13&lt;&gt;"",'G2 MT Reading Scoresheet'!K13,"")</f>
        <v/>
      </c>
      <c r="L13" s="268" t="str">
        <f>IF('G2 MT Reading Scoresheet'!L13&lt;&gt;"",'G2 MT Reading Scoresheet'!L13,"")</f>
        <v/>
      </c>
      <c r="M13" s="118" t="str">
        <f>IF('G2 MT Reading Scoresheet'!M13&lt;&gt;"",'G2 MT Reading Scoresheet'!M13,"")</f>
        <v/>
      </c>
      <c r="N13" s="266" t="str">
        <f>IF('G2 MT Reading Scoresheet'!N13&lt;&gt;"",'G2 MT Reading Scoresheet'!N13,"")</f>
        <v/>
      </c>
      <c r="O13" s="266" t="str">
        <f>IF('G2 MT Reading Scoresheet'!O13&lt;&gt;"",'G2 MT Reading Scoresheet'!O13,"")</f>
        <v/>
      </c>
      <c r="P13" s="118" t="str">
        <f>IF('G2 MT Reading Scoresheet'!P13&lt;&gt;"",'G2 MT Reading Scoresheet'!P13,"")</f>
        <v/>
      </c>
      <c r="Q13" s="122" t="str">
        <f>IF('G2 MT Reading Scoresheet'!Q13&lt;&gt;"",'G2 MT Reading Scoresheet'!Q13,"")</f>
        <v/>
      </c>
      <c r="R13" s="266" t="str">
        <f>IF('G2 MT Reading Scoresheet'!R13&lt;&gt;"",'G2 MT Reading Scoresheet'!R13,"")</f>
        <v/>
      </c>
      <c r="S13" s="266" t="str">
        <f>IF('G2 MT Reading Scoresheet'!S13&lt;&gt;"",'G2 MT Reading Scoresheet'!S13,"")</f>
        <v/>
      </c>
      <c r="T13" s="269" t="str">
        <f>IF('G2 MT Reading Scoresheet'!T13&lt;&gt;"",'G2 MT Reading Scoresheet'!T13,"")</f>
        <v/>
      </c>
      <c r="U13" s="87" t="str">
        <f>IF('G2 MT Reading Scoresheet'!U13&lt;&gt;"",'G2 MT Reading Scoresheet'!U13,"")</f>
        <v/>
      </c>
      <c r="V13" s="270"/>
      <c r="Y13" s="218" t="str">
        <f t="shared" si="0"/>
        <v/>
      </c>
    </row>
    <row r="14" spans="1:26" ht="14.4" x14ac:dyDescent="0.3">
      <c r="A14" s="4">
        <v>4</v>
      </c>
      <c r="B14" s="118" t="str">
        <f>IF('G2 MT Reading Scoresheet'!B14&lt;&gt;"",'G2 MT Reading Scoresheet'!B14,"")</f>
        <v/>
      </c>
      <c r="C14" s="133" t="str">
        <f>IF('G2 MT Reading Scoresheet'!C14&lt;&gt;"",'G2 MT Reading Scoresheet'!C14,"")</f>
        <v/>
      </c>
      <c r="D14" s="134" t="str">
        <f>IF('G2 MT Reading Scoresheet'!D14&lt;&gt;"",'G2 MT Reading Scoresheet'!D14,"")</f>
        <v/>
      </c>
      <c r="E14" s="135" t="str">
        <f>IF('G2 MT Reading Scoresheet'!E14&lt;&gt;"",'G2 MT Reading Scoresheet'!E14,"")</f>
        <v/>
      </c>
      <c r="F14" s="261" t="str">
        <f>IF('G2 MT Reading Scoresheet'!F14&lt;&gt;"",'G2 MT Reading Scoresheet'!F14,"")</f>
        <v/>
      </c>
      <c r="G14" s="262" t="str">
        <f>IF('G2 MT Reading Scoresheet'!G14&lt;&gt;"",'G2 MT Reading Scoresheet'!G14,"")</f>
        <v/>
      </c>
      <c r="H14" s="81" t="str">
        <f>IF('G2 MT Reading Scoresheet'!H14&lt;&gt;"",'G2 MT Reading Scoresheet'!H14,"")</f>
        <v/>
      </c>
      <c r="I14" s="81" t="str">
        <f>IF('G2 MT Reading Scoresheet'!I14&lt;&gt;"",'G2 MT Reading Scoresheet'!I14,"")</f>
        <v/>
      </c>
      <c r="J14" s="82" t="str">
        <f>IF('G2 MT Reading Scoresheet'!J14&lt;&gt;"",'G2 MT Reading Scoresheet'!J14,"")</f>
        <v/>
      </c>
      <c r="K14" s="263" t="str">
        <f>IF('G2 MT Reading Scoresheet'!K14&lt;&gt;"",'G2 MT Reading Scoresheet'!K14,"")</f>
        <v/>
      </c>
      <c r="L14" s="87" t="str">
        <f>IF('G2 MT Reading Scoresheet'!L14&lt;&gt;"",'G2 MT Reading Scoresheet'!L14,"")</f>
        <v/>
      </c>
      <c r="M14" s="118" t="str">
        <f>IF('G2 MT Reading Scoresheet'!M14&lt;&gt;"",'G2 MT Reading Scoresheet'!M14,"")</f>
        <v/>
      </c>
      <c r="N14" s="81" t="str">
        <f>IF('G2 MT Reading Scoresheet'!N14&lt;&gt;"",'G2 MT Reading Scoresheet'!N14,"")</f>
        <v/>
      </c>
      <c r="O14" s="81" t="str">
        <f>IF('G2 MT Reading Scoresheet'!O14&lt;&gt;"",'G2 MT Reading Scoresheet'!O14,"")</f>
        <v/>
      </c>
      <c r="P14" s="118" t="str">
        <f>IF('G2 MT Reading Scoresheet'!P14&lt;&gt;"",'G2 MT Reading Scoresheet'!P14,"")</f>
        <v/>
      </c>
      <c r="Q14" s="122" t="str">
        <f>IF('G2 MT Reading Scoresheet'!Q14&lt;&gt;"",'G2 MT Reading Scoresheet'!Q14,"")</f>
        <v/>
      </c>
      <c r="R14" s="81" t="str">
        <f>IF('G2 MT Reading Scoresheet'!R14&lt;&gt;"",'G2 MT Reading Scoresheet'!R14,"")</f>
        <v/>
      </c>
      <c r="S14" s="81" t="str">
        <f>IF('G2 MT Reading Scoresheet'!S14&lt;&gt;"",'G2 MT Reading Scoresheet'!S14,"")</f>
        <v/>
      </c>
      <c r="T14" s="82" t="str">
        <f>IF('G2 MT Reading Scoresheet'!T14&lt;&gt;"",'G2 MT Reading Scoresheet'!T14,"")</f>
        <v/>
      </c>
      <c r="U14" s="87" t="str">
        <f>IF('G2 MT Reading Scoresheet'!U14&lt;&gt;"",'G2 MT Reading Scoresheet'!U14,"")</f>
        <v/>
      </c>
      <c r="V14" s="264"/>
      <c r="Y14" s="218" t="str">
        <f t="shared" si="0"/>
        <v/>
      </c>
    </row>
    <row r="15" spans="1:26" ht="14.4" x14ac:dyDescent="0.3">
      <c r="A15" s="5">
        <v>5</v>
      </c>
      <c r="B15" s="118" t="str">
        <f>IF('G2 MT Reading Scoresheet'!B15&lt;&gt;"",'G2 MT Reading Scoresheet'!B15,"")</f>
        <v/>
      </c>
      <c r="C15" s="133" t="str">
        <f>IF('G2 MT Reading Scoresheet'!C15&lt;&gt;"",'G2 MT Reading Scoresheet'!C15,"")</f>
        <v/>
      </c>
      <c r="D15" s="134" t="str">
        <f>IF('G2 MT Reading Scoresheet'!D15&lt;&gt;"",'G2 MT Reading Scoresheet'!D15,"")</f>
        <v/>
      </c>
      <c r="E15" s="135" t="str">
        <f>IF('G2 MT Reading Scoresheet'!E15&lt;&gt;"",'G2 MT Reading Scoresheet'!E15,"")</f>
        <v/>
      </c>
      <c r="F15" s="265" t="str">
        <f>IF('G2 MT Reading Scoresheet'!F15&lt;&gt;"",'G2 MT Reading Scoresheet'!F15,"")</f>
        <v/>
      </c>
      <c r="G15" s="255" t="str">
        <f>IF('G2 MT Reading Scoresheet'!G15&lt;&gt;"",'G2 MT Reading Scoresheet'!G15,"")</f>
        <v/>
      </c>
      <c r="H15" s="266" t="str">
        <f>IF('G2 MT Reading Scoresheet'!H15&lt;&gt;"",'G2 MT Reading Scoresheet'!H15,"")</f>
        <v/>
      </c>
      <c r="I15" s="81" t="str">
        <f>IF('G2 MT Reading Scoresheet'!I15&lt;&gt;"",'G2 MT Reading Scoresheet'!I15,"")</f>
        <v/>
      </c>
      <c r="J15" s="82" t="str">
        <f>IF('G2 MT Reading Scoresheet'!J15&lt;&gt;"",'G2 MT Reading Scoresheet'!J15,"")</f>
        <v/>
      </c>
      <c r="K15" s="267" t="str">
        <f>IF('G2 MT Reading Scoresheet'!K15&lt;&gt;"",'G2 MT Reading Scoresheet'!K15,"")</f>
        <v/>
      </c>
      <c r="L15" s="268" t="str">
        <f>IF('G2 MT Reading Scoresheet'!L15&lt;&gt;"",'G2 MT Reading Scoresheet'!L15,"")</f>
        <v/>
      </c>
      <c r="M15" s="118" t="str">
        <f>IF('G2 MT Reading Scoresheet'!M15&lt;&gt;"",'G2 MT Reading Scoresheet'!M15,"")</f>
        <v/>
      </c>
      <c r="N15" s="266" t="str">
        <f>IF('G2 MT Reading Scoresheet'!N15&lt;&gt;"",'G2 MT Reading Scoresheet'!N15,"")</f>
        <v/>
      </c>
      <c r="O15" s="266" t="str">
        <f>IF('G2 MT Reading Scoresheet'!O15&lt;&gt;"",'G2 MT Reading Scoresheet'!O15,"")</f>
        <v/>
      </c>
      <c r="P15" s="118" t="str">
        <f>IF('G2 MT Reading Scoresheet'!P15&lt;&gt;"",'G2 MT Reading Scoresheet'!P15,"")</f>
        <v/>
      </c>
      <c r="Q15" s="122" t="str">
        <f>IF('G2 MT Reading Scoresheet'!Q15&lt;&gt;"",'G2 MT Reading Scoresheet'!Q15,"")</f>
        <v/>
      </c>
      <c r="R15" s="266" t="str">
        <f>IF('G2 MT Reading Scoresheet'!R15&lt;&gt;"",'G2 MT Reading Scoresheet'!R15,"")</f>
        <v/>
      </c>
      <c r="S15" s="266" t="str">
        <f>IF('G2 MT Reading Scoresheet'!S15&lt;&gt;"",'G2 MT Reading Scoresheet'!S15,"")</f>
        <v/>
      </c>
      <c r="T15" s="269" t="str">
        <f>IF('G2 MT Reading Scoresheet'!T15&lt;&gt;"",'G2 MT Reading Scoresheet'!T15,"")</f>
        <v/>
      </c>
      <c r="U15" s="87" t="str">
        <f>IF('G2 MT Reading Scoresheet'!U15&lt;&gt;"",'G2 MT Reading Scoresheet'!U15,"")</f>
        <v/>
      </c>
      <c r="V15" s="270"/>
      <c r="Y15" s="218" t="str">
        <f t="shared" si="0"/>
        <v/>
      </c>
    </row>
    <row r="16" spans="1:26" ht="14.4" x14ac:dyDescent="0.3">
      <c r="A16" s="4">
        <v>6</v>
      </c>
      <c r="B16" s="118" t="str">
        <f>IF('G2 MT Reading Scoresheet'!B16&lt;&gt;"",'G2 MT Reading Scoresheet'!B16,"")</f>
        <v/>
      </c>
      <c r="C16" s="133" t="str">
        <f>IF('G2 MT Reading Scoresheet'!C16&lt;&gt;"",'G2 MT Reading Scoresheet'!C16,"")</f>
        <v/>
      </c>
      <c r="D16" s="134" t="str">
        <f>IF('G2 MT Reading Scoresheet'!D16&lt;&gt;"",'G2 MT Reading Scoresheet'!D16,"")</f>
        <v/>
      </c>
      <c r="E16" s="135" t="str">
        <f>IF('G2 MT Reading Scoresheet'!E16&lt;&gt;"",'G2 MT Reading Scoresheet'!E16,"")</f>
        <v/>
      </c>
      <c r="F16" s="261" t="str">
        <f>IF('G2 MT Reading Scoresheet'!F16&lt;&gt;"",'G2 MT Reading Scoresheet'!F16,"")</f>
        <v/>
      </c>
      <c r="G16" s="262" t="str">
        <f>IF('G2 MT Reading Scoresheet'!G16&lt;&gt;"",'G2 MT Reading Scoresheet'!G16,"")</f>
        <v/>
      </c>
      <c r="H16" s="81" t="str">
        <f>IF('G2 MT Reading Scoresheet'!H16&lt;&gt;"",'G2 MT Reading Scoresheet'!H16,"")</f>
        <v/>
      </c>
      <c r="I16" s="81" t="str">
        <f>IF('G2 MT Reading Scoresheet'!I16&lt;&gt;"",'G2 MT Reading Scoresheet'!I16,"")</f>
        <v/>
      </c>
      <c r="J16" s="82" t="str">
        <f>IF('G2 MT Reading Scoresheet'!J16&lt;&gt;"",'G2 MT Reading Scoresheet'!J16,"")</f>
        <v/>
      </c>
      <c r="K16" s="263" t="str">
        <f>IF('G2 MT Reading Scoresheet'!K16&lt;&gt;"",'G2 MT Reading Scoresheet'!K16,"")</f>
        <v/>
      </c>
      <c r="L16" s="87" t="str">
        <f>IF('G2 MT Reading Scoresheet'!L16&lt;&gt;"",'G2 MT Reading Scoresheet'!L16,"")</f>
        <v/>
      </c>
      <c r="M16" s="118" t="str">
        <f>IF('G2 MT Reading Scoresheet'!M16&lt;&gt;"",'G2 MT Reading Scoresheet'!M16,"")</f>
        <v/>
      </c>
      <c r="N16" s="81" t="str">
        <f>IF('G2 MT Reading Scoresheet'!N16&lt;&gt;"",'G2 MT Reading Scoresheet'!N16,"")</f>
        <v/>
      </c>
      <c r="O16" s="81" t="str">
        <f>IF('G2 MT Reading Scoresheet'!O16&lt;&gt;"",'G2 MT Reading Scoresheet'!O16,"")</f>
        <v/>
      </c>
      <c r="P16" s="118" t="str">
        <f>IF('G2 MT Reading Scoresheet'!P16&lt;&gt;"",'G2 MT Reading Scoresheet'!P16,"")</f>
        <v/>
      </c>
      <c r="Q16" s="122" t="str">
        <f>IF('G2 MT Reading Scoresheet'!Q16&lt;&gt;"",'G2 MT Reading Scoresheet'!Q16,"")</f>
        <v/>
      </c>
      <c r="R16" s="81" t="str">
        <f>IF('G2 MT Reading Scoresheet'!R16&lt;&gt;"",'G2 MT Reading Scoresheet'!R16,"")</f>
        <v/>
      </c>
      <c r="S16" s="81" t="str">
        <f>IF('G2 MT Reading Scoresheet'!S16&lt;&gt;"",'G2 MT Reading Scoresheet'!S16,"")</f>
        <v/>
      </c>
      <c r="T16" s="82" t="str">
        <f>IF('G2 MT Reading Scoresheet'!T16&lt;&gt;"",'G2 MT Reading Scoresheet'!T16,"")</f>
        <v/>
      </c>
      <c r="U16" s="87" t="str">
        <f>IF('G2 MT Reading Scoresheet'!U16&lt;&gt;"",'G2 MT Reading Scoresheet'!U16,"")</f>
        <v/>
      </c>
      <c r="V16" s="264"/>
      <c r="Y16" s="218" t="str">
        <f t="shared" si="0"/>
        <v/>
      </c>
    </row>
    <row r="17" spans="1:25" ht="14.4" x14ac:dyDescent="0.3">
      <c r="A17" s="5">
        <v>7</v>
      </c>
      <c r="B17" s="118" t="str">
        <f>IF('G2 MT Reading Scoresheet'!B17&lt;&gt;"",'G2 MT Reading Scoresheet'!B17,"")</f>
        <v/>
      </c>
      <c r="C17" s="133" t="str">
        <f>IF('G2 MT Reading Scoresheet'!C17&lt;&gt;"",'G2 MT Reading Scoresheet'!C17,"")</f>
        <v/>
      </c>
      <c r="D17" s="134" t="str">
        <f>IF('G2 MT Reading Scoresheet'!D17&lt;&gt;"",'G2 MT Reading Scoresheet'!D17,"")</f>
        <v/>
      </c>
      <c r="E17" s="135" t="str">
        <f>IF('G2 MT Reading Scoresheet'!E17&lt;&gt;"",'G2 MT Reading Scoresheet'!E17,"")</f>
        <v/>
      </c>
      <c r="F17" s="265" t="str">
        <f>IF('G2 MT Reading Scoresheet'!F17&lt;&gt;"",'G2 MT Reading Scoresheet'!F17,"")</f>
        <v/>
      </c>
      <c r="G17" s="255" t="str">
        <f>IF('G2 MT Reading Scoresheet'!G17&lt;&gt;"",'G2 MT Reading Scoresheet'!G17,"")</f>
        <v/>
      </c>
      <c r="H17" s="266" t="str">
        <f>IF('G2 MT Reading Scoresheet'!H17&lt;&gt;"",'G2 MT Reading Scoresheet'!H17,"")</f>
        <v/>
      </c>
      <c r="I17" s="81" t="str">
        <f>IF('G2 MT Reading Scoresheet'!I17&lt;&gt;"",'G2 MT Reading Scoresheet'!I17,"")</f>
        <v/>
      </c>
      <c r="J17" s="82" t="str">
        <f>IF('G2 MT Reading Scoresheet'!J17&lt;&gt;"",'G2 MT Reading Scoresheet'!J17,"")</f>
        <v/>
      </c>
      <c r="K17" s="267" t="str">
        <f>IF('G2 MT Reading Scoresheet'!K17&lt;&gt;"",'G2 MT Reading Scoresheet'!K17,"")</f>
        <v/>
      </c>
      <c r="L17" s="268" t="str">
        <f>IF('G2 MT Reading Scoresheet'!L17&lt;&gt;"",'G2 MT Reading Scoresheet'!L17,"")</f>
        <v/>
      </c>
      <c r="M17" s="118" t="str">
        <f>IF('G2 MT Reading Scoresheet'!M17&lt;&gt;"",'G2 MT Reading Scoresheet'!M17,"")</f>
        <v/>
      </c>
      <c r="N17" s="266" t="str">
        <f>IF('G2 MT Reading Scoresheet'!N17&lt;&gt;"",'G2 MT Reading Scoresheet'!N17,"")</f>
        <v/>
      </c>
      <c r="O17" s="266" t="str">
        <f>IF('G2 MT Reading Scoresheet'!O17&lt;&gt;"",'G2 MT Reading Scoresheet'!O17,"")</f>
        <v/>
      </c>
      <c r="P17" s="118" t="str">
        <f>IF('G2 MT Reading Scoresheet'!P17&lt;&gt;"",'G2 MT Reading Scoresheet'!P17,"")</f>
        <v/>
      </c>
      <c r="Q17" s="122" t="str">
        <f>IF('G2 MT Reading Scoresheet'!Q17&lt;&gt;"",'G2 MT Reading Scoresheet'!Q17,"")</f>
        <v/>
      </c>
      <c r="R17" s="266" t="str">
        <f>IF('G2 MT Reading Scoresheet'!R17&lt;&gt;"",'G2 MT Reading Scoresheet'!R17,"")</f>
        <v/>
      </c>
      <c r="S17" s="266" t="str">
        <f>IF('G2 MT Reading Scoresheet'!S17&lt;&gt;"",'G2 MT Reading Scoresheet'!S17,"")</f>
        <v/>
      </c>
      <c r="T17" s="269" t="str">
        <f>IF('G2 MT Reading Scoresheet'!T17&lt;&gt;"",'G2 MT Reading Scoresheet'!T17,"")</f>
        <v/>
      </c>
      <c r="U17" s="87" t="str">
        <f>IF('G2 MT Reading Scoresheet'!U17&lt;&gt;"",'G2 MT Reading Scoresheet'!U17,"")</f>
        <v/>
      </c>
      <c r="V17" s="270"/>
      <c r="Y17" s="218" t="str">
        <f t="shared" si="0"/>
        <v/>
      </c>
    </row>
    <row r="18" spans="1:25" ht="14.4" x14ac:dyDescent="0.3">
      <c r="A18" s="4">
        <v>8</v>
      </c>
      <c r="B18" s="118" t="str">
        <f>IF('G2 MT Reading Scoresheet'!B18&lt;&gt;"",'G2 MT Reading Scoresheet'!B18,"")</f>
        <v/>
      </c>
      <c r="C18" s="133" t="str">
        <f>IF('G2 MT Reading Scoresheet'!C18&lt;&gt;"",'G2 MT Reading Scoresheet'!C18,"")</f>
        <v/>
      </c>
      <c r="D18" s="134" t="str">
        <f>IF('G2 MT Reading Scoresheet'!D18&lt;&gt;"",'G2 MT Reading Scoresheet'!D18,"")</f>
        <v/>
      </c>
      <c r="E18" s="135" t="str">
        <f>IF('G2 MT Reading Scoresheet'!E18&lt;&gt;"",'G2 MT Reading Scoresheet'!E18,"")</f>
        <v/>
      </c>
      <c r="F18" s="261" t="str">
        <f>IF('G2 MT Reading Scoresheet'!F18&lt;&gt;"",'G2 MT Reading Scoresheet'!F18,"")</f>
        <v/>
      </c>
      <c r="G18" s="262" t="str">
        <f>IF('G2 MT Reading Scoresheet'!G18&lt;&gt;"",'G2 MT Reading Scoresheet'!G18,"")</f>
        <v/>
      </c>
      <c r="H18" s="81" t="str">
        <f>IF('G2 MT Reading Scoresheet'!H18&lt;&gt;"",'G2 MT Reading Scoresheet'!H18,"")</f>
        <v/>
      </c>
      <c r="I18" s="81" t="str">
        <f>IF('G2 MT Reading Scoresheet'!I18&lt;&gt;"",'G2 MT Reading Scoresheet'!I18,"")</f>
        <v/>
      </c>
      <c r="J18" s="82" t="str">
        <f>IF('G2 MT Reading Scoresheet'!J18&lt;&gt;"",'G2 MT Reading Scoresheet'!J18,"")</f>
        <v/>
      </c>
      <c r="K18" s="263" t="str">
        <f>IF('G2 MT Reading Scoresheet'!K18&lt;&gt;"",'G2 MT Reading Scoresheet'!K18,"")</f>
        <v/>
      </c>
      <c r="L18" s="87" t="str">
        <f>IF('G2 MT Reading Scoresheet'!L18&lt;&gt;"",'G2 MT Reading Scoresheet'!L18,"")</f>
        <v/>
      </c>
      <c r="M18" s="118" t="str">
        <f>IF('G2 MT Reading Scoresheet'!M18&lt;&gt;"",'G2 MT Reading Scoresheet'!M18,"")</f>
        <v/>
      </c>
      <c r="N18" s="81" t="str">
        <f>IF('G2 MT Reading Scoresheet'!N18&lt;&gt;"",'G2 MT Reading Scoresheet'!N18,"")</f>
        <v/>
      </c>
      <c r="O18" s="81" t="str">
        <f>IF('G2 MT Reading Scoresheet'!O18&lt;&gt;"",'G2 MT Reading Scoresheet'!O18,"")</f>
        <v/>
      </c>
      <c r="P18" s="118" t="str">
        <f>IF('G2 MT Reading Scoresheet'!P18&lt;&gt;"",'G2 MT Reading Scoresheet'!P18,"")</f>
        <v/>
      </c>
      <c r="Q18" s="122" t="str">
        <f>IF('G2 MT Reading Scoresheet'!Q18&lt;&gt;"",'G2 MT Reading Scoresheet'!Q18,"")</f>
        <v/>
      </c>
      <c r="R18" s="81" t="str">
        <f>IF('G2 MT Reading Scoresheet'!R18&lt;&gt;"",'G2 MT Reading Scoresheet'!R18,"")</f>
        <v/>
      </c>
      <c r="S18" s="81" t="str">
        <f>IF('G2 MT Reading Scoresheet'!S18&lt;&gt;"",'G2 MT Reading Scoresheet'!S18,"")</f>
        <v/>
      </c>
      <c r="T18" s="82" t="str">
        <f>IF('G2 MT Reading Scoresheet'!T18&lt;&gt;"",'G2 MT Reading Scoresheet'!T18,"")</f>
        <v/>
      </c>
      <c r="U18" s="87" t="str">
        <f>IF('G2 MT Reading Scoresheet'!U18&lt;&gt;"",'G2 MT Reading Scoresheet'!U18,"")</f>
        <v/>
      </c>
      <c r="V18" s="264"/>
      <c r="Y18" s="218" t="str">
        <f t="shared" si="0"/>
        <v/>
      </c>
    </row>
    <row r="19" spans="1:25" ht="14.4" x14ac:dyDescent="0.3">
      <c r="A19" s="5">
        <v>9</v>
      </c>
      <c r="B19" s="118" t="str">
        <f>IF('G2 MT Reading Scoresheet'!B19&lt;&gt;"",'G2 MT Reading Scoresheet'!B19,"")</f>
        <v/>
      </c>
      <c r="C19" s="133" t="str">
        <f>IF('G2 MT Reading Scoresheet'!C19&lt;&gt;"",'G2 MT Reading Scoresheet'!C19,"")</f>
        <v/>
      </c>
      <c r="D19" s="134" t="str">
        <f>IF('G2 MT Reading Scoresheet'!D19&lt;&gt;"",'G2 MT Reading Scoresheet'!D19,"")</f>
        <v/>
      </c>
      <c r="E19" s="135" t="str">
        <f>IF('G2 MT Reading Scoresheet'!E19&lt;&gt;"",'G2 MT Reading Scoresheet'!E19,"")</f>
        <v/>
      </c>
      <c r="F19" s="265" t="str">
        <f>IF('G2 MT Reading Scoresheet'!F19&lt;&gt;"",'G2 MT Reading Scoresheet'!F19,"")</f>
        <v/>
      </c>
      <c r="G19" s="255" t="str">
        <f>IF('G2 MT Reading Scoresheet'!G19&lt;&gt;"",'G2 MT Reading Scoresheet'!G19,"")</f>
        <v/>
      </c>
      <c r="H19" s="266" t="str">
        <f>IF('G2 MT Reading Scoresheet'!H19&lt;&gt;"",'G2 MT Reading Scoresheet'!H19,"")</f>
        <v/>
      </c>
      <c r="I19" s="81" t="str">
        <f>IF('G2 MT Reading Scoresheet'!I19&lt;&gt;"",'G2 MT Reading Scoresheet'!I19,"")</f>
        <v/>
      </c>
      <c r="J19" s="82" t="str">
        <f>IF('G2 MT Reading Scoresheet'!J19&lt;&gt;"",'G2 MT Reading Scoresheet'!J19,"")</f>
        <v/>
      </c>
      <c r="K19" s="267" t="str">
        <f>IF('G2 MT Reading Scoresheet'!K19&lt;&gt;"",'G2 MT Reading Scoresheet'!K19,"")</f>
        <v/>
      </c>
      <c r="L19" s="268" t="str">
        <f>IF('G2 MT Reading Scoresheet'!L19&lt;&gt;"",'G2 MT Reading Scoresheet'!L19,"")</f>
        <v/>
      </c>
      <c r="M19" s="118" t="str">
        <f>IF('G2 MT Reading Scoresheet'!M19&lt;&gt;"",'G2 MT Reading Scoresheet'!M19,"")</f>
        <v/>
      </c>
      <c r="N19" s="266" t="str">
        <f>IF('G2 MT Reading Scoresheet'!N19&lt;&gt;"",'G2 MT Reading Scoresheet'!N19,"")</f>
        <v/>
      </c>
      <c r="O19" s="266" t="str">
        <f>IF('G2 MT Reading Scoresheet'!O19&lt;&gt;"",'G2 MT Reading Scoresheet'!O19,"")</f>
        <v/>
      </c>
      <c r="P19" s="118" t="str">
        <f>IF('G2 MT Reading Scoresheet'!P19&lt;&gt;"",'G2 MT Reading Scoresheet'!P19,"")</f>
        <v/>
      </c>
      <c r="Q19" s="122" t="str">
        <f>IF('G2 MT Reading Scoresheet'!Q19&lt;&gt;"",'G2 MT Reading Scoresheet'!Q19,"")</f>
        <v/>
      </c>
      <c r="R19" s="266" t="str">
        <f>IF('G2 MT Reading Scoresheet'!R19&lt;&gt;"",'G2 MT Reading Scoresheet'!R19,"")</f>
        <v/>
      </c>
      <c r="S19" s="266" t="str">
        <f>IF('G2 MT Reading Scoresheet'!S19&lt;&gt;"",'G2 MT Reading Scoresheet'!S19,"")</f>
        <v/>
      </c>
      <c r="T19" s="269" t="str">
        <f>IF('G2 MT Reading Scoresheet'!T19&lt;&gt;"",'G2 MT Reading Scoresheet'!T19,"")</f>
        <v/>
      </c>
      <c r="U19" s="87" t="str">
        <f>IF('G2 MT Reading Scoresheet'!U19&lt;&gt;"",'G2 MT Reading Scoresheet'!U19,"")</f>
        <v/>
      </c>
      <c r="V19" s="270"/>
      <c r="Y19" s="218" t="str">
        <f t="shared" si="0"/>
        <v/>
      </c>
    </row>
    <row r="20" spans="1:25" ht="14.4" x14ac:dyDescent="0.3">
      <c r="A20" s="4">
        <v>10</v>
      </c>
      <c r="B20" s="118" t="str">
        <f>IF('G2 MT Reading Scoresheet'!B20&lt;&gt;"",'G2 MT Reading Scoresheet'!B20,"")</f>
        <v/>
      </c>
      <c r="C20" s="133" t="str">
        <f>IF('G2 MT Reading Scoresheet'!C20&lt;&gt;"",'G2 MT Reading Scoresheet'!C20,"")</f>
        <v/>
      </c>
      <c r="D20" s="134" t="str">
        <f>IF('G2 MT Reading Scoresheet'!D20&lt;&gt;"",'G2 MT Reading Scoresheet'!D20,"")</f>
        <v/>
      </c>
      <c r="E20" s="135" t="str">
        <f>IF('G2 MT Reading Scoresheet'!E20&lt;&gt;"",'G2 MT Reading Scoresheet'!E20,"")</f>
        <v/>
      </c>
      <c r="F20" s="261" t="str">
        <f>IF('G2 MT Reading Scoresheet'!F20&lt;&gt;"",'G2 MT Reading Scoresheet'!F20,"")</f>
        <v/>
      </c>
      <c r="G20" s="262" t="str">
        <f>IF('G2 MT Reading Scoresheet'!G20&lt;&gt;"",'G2 MT Reading Scoresheet'!G20,"")</f>
        <v/>
      </c>
      <c r="H20" s="81" t="str">
        <f>IF('G2 MT Reading Scoresheet'!H20&lt;&gt;"",'G2 MT Reading Scoresheet'!H20,"")</f>
        <v/>
      </c>
      <c r="I20" s="81" t="str">
        <f>IF('G2 MT Reading Scoresheet'!I20&lt;&gt;"",'G2 MT Reading Scoresheet'!I20,"")</f>
        <v/>
      </c>
      <c r="J20" s="82" t="str">
        <f>IF('G2 MT Reading Scoresheet'!J20&lt;&gt;"",'G2 MT Reading Scoresheet'!J20,"")</f>
        <v/>
      </c>
      <c r="K20" s="263" t="str">
        <f>IF('G2 MT Reading Scoresheet'!K20&lt;&gt;"",'G2 MT Reading Scoresheet'!K20,"")</f>
        <v/>
      </c>
      <c r="L20" s="87" t="str">
        <f>IF('G2 MT Reading Scoresheet'!L20&lt;&gt;"",'G2 MT Reading Scoresheet'!L20,"")</f>
        <v/>
      </c>
      <c r="M20" s="118" t="str">
        <f>IF('G2 MT Reading Scoresheet'!M20&lt;&gt;"",'G2 MT Reading Scoresheet'!M20,"")</f>
        <v/>
      </c>
      <c r="N20" s="81" t="str">
        <f>IF('G2 MT Reading Scoresheet'!N20&lt;&gt;"",'G2 MT Reading Scoresheet'!N20,"")</f>
        <v/>
      </c>
      <c r="O20" s="81" t="str">
        <f>IF('G2 MT Reading Scoresheet'!O20&lt;&gt;"",'G2 MT Reading Scoresheet'!O20,"")</f>
        <v/>
      </c>
      <c r="P20" s="118" t="str">
        <f>IF('G2 MT Reading Scoresheet'!P20&lt;&gt;"",'G2 MT Reading Scoresheet'!P20,"")</f>
        <v/>
      </c>
      <c r="Q20" s="122" t="str">
        <f>IF('G2 MT Reading Scoresheet'!Q20&lt;&gt;"",'G2 MT Reading Scoresheet'!Q20,"")</f>
        <v/>
      </c>
      <c r="R20" s="81" t="str">
        <f>IF('G2 MT Reading Scoresheet'!R20&lt;&gt;"",'G2 MT Reading Scoresheet'!R20,"")</f>
        <v/>
      </c>
      <c r="S20" s="81" t="str">
        <f>IF('G2 MT Reading Scoresheet'!S20&lt;&gt;"",'G2 MT Reading Scoresheet'!S20,"")</f>
        <v/>
      </c>
      <c r="T20" s="82" t="str">
        <f>IF('G2 MT Reading Scoresheet'!T20&lt;&gt;"",'G2 MT Reading Scoresheet'!T20,"")</f>
        <v/>
      </c>
      <c r="U20" s="87" t="str">
        <f>IF('G2 MT Reading Scoresheet'!U20&lt;&gt;"",'G2 MT Reading Scoresheet'!U20,"")</f>
        <v/>
      </c>
      <c r="V20" s="264"/>
      <c r="Y20" s="218" t="str">
        <f t="shared" si="0"/>
        <v/>
      </c>
    </row>
    <row r="21" spans="1:25" ht="14.4" x14ac:dyDescent="0.3">
      <c r="A21" s="5">
        <v>11</v>
      </c>
      <c r="B21" s="118" t="str">
        <f>IF('G2 MT Reading Scoresheet'!B21&lt;&gt;"",'G2 MT Reading Scoresheet'!B21,"")</f>
        <v/>
      </c>
      <c r="C21" s="133" t="str">
        <f>IF('G2 MT Reading Scoresheet'!C21&lt;&gt;"",'G2 MT Reading Scoresheet'!C21,"")</f>
        <v/>
      </c>
      <c r="D21" s="134" t="str">
        <f>IF('G2 MT Reading Scoresheet'!D21&lt;&gt;"",'G2 MT Reading Scoresheet'!D21,"")</f>
        <v/>
      </c>
      <c r="E21" s="135" t="str">
        <f>IF('G2 MT Reading Scoresheet'!E21&lt;&gt;"",'G2 MT Reading Scoresheet'!E21,"")</f>
        <v/>
      </c>
      <c r="F21" s="265" t="str">
        <f>IF('G2 MT Reading Scoresheet'!F21&lt;&gt;"",'G2 MT Reading Scoresheet'!F21,"")</f>
        <v/>
      </c>
      <c r="G21" s="255" t="str">
        <f>IF('G2 MT Reading Scoresheet'!G21&lt;&gt;"",'G2 MT Reading Scoresheet'!G21,"")</f>
        <v/>
      </c>
      <c r="H21" s="266" t="str">
        <f>IF('G2 MT Reading Scoresheet'!H21&lt;&gt;"",'G2 MT Reading Scoresheet'!H21,"")</f>
        <v/>
      </c>
      <c r="I21" s="81" t="str">
        <f>IF('G2 MT Reading Scoresheet'!I21&lt;&gt;"",'G2 MT Reading Scoresheet'!I21,"")</f>
        <v/>
      </c>
      <c r="J21" s="82" t="str">
        <f>IF('G2 MT Reading Scoresheet'!J21&lt;&gt;"",'G2 MT Reading Scoresheet'!J21,"")</f>
        <v/>
      </c>
      <c r="K21" s="267" t="str">
        <f>IF('G2 MT Reading Scoresheet'!K21&lt;&gt;"",'G2 MT Reading Scoresheet'!K21,"")</f>
        <v/>
      </c>
      <c r="L21" s="268" t="str">
        <f>IF('G2 MT Reading Scoresheet'!L21&lt;&gt;"",'G2 MT Reading Scoresheet'!L21,"")</f>
        <v/>
      </c>
      <c r="M21" s="118" t="str">
        <f>IF('G2 MT Reading Scoresheet'!M21&lt;&gt;"",'G2 MT Reading Scoresheet'!M21,"")</f>
        <v/>
      </c>
      <c r="N21" s="266" t="str">
        <f>IF('G2 MT Reading Scoresheet'!N21&lt;&gt;"",'G2 MT Reading Scoresheet'!N21,"")</f>
        <v/>
      </c>
      <c r="O21" s="266" t="str">
        <f>IF('G2 MT Reading Scoresheet'!O21&lt;&gt;"",'G2 MT Reading Scoresheet'!O21,"")</f>
        <v/>
      </c>
      <c r="P21" s="118" t="str">
        <f>IF('G2 MT Reading Scoresheet'!P21&lt;&gt;"",'G2 MT Reading Scoresheet'!P21,"")</f>
        <v/>
      </c>
      <c r="Q21" s="122" t="str">
        <f>IF('G2 MT Reading Scoresheet'!Q21&lt;&gt;"",'G2 MT Reading Scoresheet'!Q21,"")</f>
        <v/>
      </c>
      <c r="R21" s="266" t="str">
        <f>IF('G2 MT Reading Scoresheet'!R21&lt;&gt;"",'G2 MT Reading Scoresheet'!R21,"")</f>
        <v/>
      </c>
      <c r="S21" s="266" t="str">
        <f>IF('G2 MT Reading Scoresheet'!S21&lt;&gt;"",'G2 MT Reading Scoresheet'!S21,"")</f>
        <v/>
      </c>
      <c r="T21" s="269" t="str">
        <f>IF('G2 MT Reading Scoresheet'!T21&lt;&gt;"",'G2 MT Reading Scoresheet'!T21,"")</f>
        <v/>
      </c>
      <c r="U21" s="87" t="str">
        <f>IF('G2 MT Reading Scoresheet'!U21&lt;&gt;"",'G2 MT Reading Scoresheet'!U21,"")</f>
        <v/>
      </c>
      <c r="V21" s="270"/>
      <c r="Y21" s="218" t="str">
        <f t="shared" si="0"/>
        <v/>
      </c>
    </row>
    <row r="22" spans="1:25" ht="14.4" x14ac:dyDescent="0.3">
      <c r="A22" s="4">
        <v>12</v>
      </c>
      <c r="B22" s="118" t="str">
        <f>IF('G2 MT Reading Scoresheet'!B22&lt;&gt;"",'G2 MT Reading Scoresheet'!B22,"")</f>
        <v/>
      </c>
      <c r="C22" s="133" t="str">
        <f>IF('G2 MT Reading Scoresheet'!C22&lt;&gt;"",'G2 MT Reading Scoresheet'!C22,"")</f>
        <v/>
      </c>
      <c r="D22" s="134" t="str">
        <f>IF('G2 MT Reading Scoresheet'!D22&lt;&gt;"",'G2 MT Reading Scoresheet'!D22,"")</f>
        <v/>
      </c>
      <c r="E22" s="135" t="str">
        <f>IF('G2 MT Reading Scoresheet'!E22&lt;&gt;"",'G2 MT Reading Scoresheet'!E22,"")</f>
        <v/>
      </c>
      <c r="F22" s="261" t="str">
        <f>IF('G2 MT Reading Scoresheet'!F22&lt;&gt;"",'G2 MT Reading Scoresheet'!F22,"")</f>
        <v/>
      </c>
      <c r="G22" s="262" t="str">
        <f>IF('G2 MT Reading Scoresheet'!G22&lt;&gt;"",'G2 MT Reading Scoresheet'!G22,"")</f>
        <v/>
      </c>
      <c r="H22" s="81" t="str">
        <f>IF('G2 MT Reading Scoresheet'!H22&lt;&gt;"",'G2 MT Reading Scoresheet'!H22,"")</f>
        <v/>
      </c>
      <c r="I22" s="81" t="str">
        <f>IF('G2 MT Reading Scoresheet'!I22&lt;&gt;"",'G2 MT Reading Scoresheet'!I22,"")</f>
        <v/>
      </c>
      <c r="J22" s="82" t="str">
        <f>IF('G2 MT Reading Scoresheet'!J22&lt;&gt;"",'G2 MT Reading Scoresheet'!J22,"")</f>
        <v/>
      </c>
      <c r="K22" s="263" t="str">
        <f>IF('G2 MT Reading Scoresheet'!K22&lt;&gt;"",'G2 MT Reading Scoresheet'!K22,"")</f>
        <v/>
      </c>
      <c r="L22" s="87" t="str">
        <f>IF('G2 MT Reading Scoresheet'!L22&lt;&gt;"",'G2 MT Reading Scoresheet'!L22,"")</f>
        <v/>
      </c>
      <c r="M22" s="118" t="str">
        <f>IF('G2 MT Reading Scoresheet'!M22&lt;&gt;"",'G2 MT Reading Scoresheet'!M22,"")</f>
        <v/>
      </c>
      <c r="N22" s="81" t="str">
        <f>IF('G2 MT Reading Scoresheet'!N22&lt;&gt;"",'G2 MT Reading Scoresheet'!N22,"")</f>
        <v/>
      </c>
      <c r="O22" s="81" t="str">
        <f>IF('G2 MT Reading Scoresheet'!O22&lt;&gt;"",'G2 MT Reading Scoresheet'!O22,"")</f>
        <v/>
      </c>
      <c r="P22" s="118" t="str">
        <f>IF('G2 MT Reading Scoresheet'!P22&lt;&gt;"",'G2 MT Reading Scoresheet'!P22,"")</f>
        <v/>
      </c>
      <c r="Q22" s="122" t="str">
        <f>IF('G2 MT Reading Scoresheet'!Q22&lt;&gt;"",'G2 MT Reading Scoresheet'!Q22,"")</f>
        <v/>
      </c>
      <c r="R22" s="81" t="str">
        <f>IF('G2 MT Reading Scoresheet'!R22&lt;&gt;"",'G2 MT Reading Scoresheet'!R22,"")</f>
        <v/>
      </c>
      <c r="S22" s="81" t="str">
        <f>IF('G2 MT Reading Scoresheet'!S22&lt;&gt;"",'G2 MT Reading Scoresheet'!S22,"")</f>
        <v/>
      </c>
      <c r="T22" s="82" t="str">
        <f>IF('G2 MT Reading Scoresheet'!T22&lt;&gt;"",'G2 MT Reading Scoresheet'!T22,"")</f>
        <v/>
      </c>
      <c r="U22" s="87" t="str">
        <f>IF('G2 MT Reading Scoresheet'!U22&lt;&gt;"",'G2 MT Reading Scoresheet'!U22,"")</f>
        <v/>
      </c>
      <c r="V22" s="264"/>
      <c r="Y22" s="218" t="str">
        <f t="shared" si="0"/>
        <v/>
      </c>
    </row>
    <row r="23" spans="1:25" ht="14.4" x14ac:dyDescent="0.3">
      <c r="A23" s="5">
        <v>13</v>
      </c>
      <c r="B23" s="118" t="str">
        <f>IF('G2 MT Reading Scoresheet'!B23&lt;&gt;"",'G2 MT Reading Scoresheet'!B23,"")</f>
        <v/>
      </c>
      <c r="C23" s="133" t="str">
        <f>IF('G2 MT Reading Scoresheet'!C23&lt;&gt;"",'G2 MT Reading Scoresheet'!C23,"")</f>
        <v/>
      </c>
      <c r="D23" s="134" t="str">
        <f>IF('G2 MT Reading Scoresheet'!D23&lt;&gt;"",'G2 MT Reading Scoresheet'!D23,"")</f>
        <v/>
      </c>
      <c r="E23" s="135" t="str">
        <f>IF('G2 MT Reading Scoresheet'!E23&lt;&gt;"",'G2 MT Reading Scoresheet'!E23,"")</f>
        <v/>
      </c>
      <c r="F23" s="265" t="str">
        <f>IF('G2 MT Reading Scoresheet'!F23&lt;&gt;"",'G2 MT Reading Scoresheet'!F23,"")</f>
        <v/>
      </c>
      <c r="G23" s="255" t="str">
        <f>IF('G2 MT Reading Scoresheet'!G23&lt;&gt;"",'G2 MT Reading Scoresheet'!G23,"")</f>
        <v/>
      </c>
      <c r="H23" s="266" t="str">
        <f>IF('G2 MT Reading Scoresheet'!H23&lt;&gt;"",'G2 MT Reading Scoresheet'!H23,"")</f>
        <v/>
      </c>
      <c r="I23" s="81" t="str">
        <f>IF('G2 MT Reading Scoresheet'!I23&lt;&gt;"",'G2 MT Reading Scoresheet'!I23,"")</f>
        <v/>
      </c>
      <c r="J23" s="82" t="str">
        <f>IF('G2 MT Reading Scoresheet'!J23&lt;&gt;"",'G2 MT Reading Scoresheet'!J23,"")</f>
        <v/>
      </c>
      <c r="K23" s="267" t="str">
        <f>IF('G2 MT Reading Scoresheet'!K23&lt;&gt;"",'G2 MT Reading Scoresheet'!K23,"")</f>
        <v/>
      </c>
      <c r="L23" s="268" t="str">
        <f>IF('G2 MT Reading Scoresheet'!L23&lt;&gt;"",'G2 MT Reading Scoresheet'!L23,"")</f>
        <v/>
      </c>
      <c r="M23" s="118" t="str">
        <f>IF('G2 MT Reading Scoresheet'!M23&lt;&gt;"",'G2 MT Reading Scoresheet'!M23,"")</f>
        <v/>
      </c>
      <c r="N23" s="266" t="str">
        <f>IF('G2 MT Reading Scoresheet'!N23&lt;&gt;"",'G2 MT Reading Scoresheet'!N23,"")</f>
        <v/>
      </c>
      <c r="O23" s="266" t="str">
        <f>IF('G2 MT Reading Scoresheet'!O23&lt;&gt;"",'G2 MT Reading Scoresheet'!O23,"")</f>
        <v/>
      </c>
      <c r="P23" s="118" t="str">
        <f>IF('G2 MT Reading Scoresheet'!P23&lt;&gt;"",'G2 MT Reading Scoresheet'!P23,"")</f>
        <v/>
      </c>
      <c r="Q23" s="122" t="str">
        <f>IF('G2 MT Reading Scoresheet'!Q23&lt;&gt;"",'G2 MT Reading Scoresheet'!Q23,"")</f>
        <v/>
      </c>
      <c r="R23" s="266" t="str">
        <f>IF('G2 MT Reading Scoresheet'!R23&lt;&gt;"",'G2 MT Reading Scoresheet'!R23,"")</f>
        <v/>
      </c>
      <c r="S23" s="266" t="str">
        <f>IF('G2 MT Reading Scoresheet'!S23&lt;&gt;"",'G2 MT Reading Scoresheet'!S23,"")</f>
        <v/>
      </c>
      <c r="T23" s="269" t="str">
        <f>IF('G2 MT Reading Scoresheet'!T23&lt;&gt;"",'G2 MT Reading Scoresheet'!T23,"")</f>
        <v/>
      </c>
      <c r="U23" s="87" t="str">
        <f>IF('G2 MT Reading Scoresheet'!U23&lt;&gt;"",'G2 MT Reading Scoresheet'!U23,"")</f>
        <v/>
      </c>
      <c r="V23" s="270"/>
      <c r="Y23" s="218" t="str">
        <f t="shared" si="0"/>
        <v/>
      </c>
    </row>
    <row r="24" spans="1:25" ht="14.4" x14ac:dyDescent="0.3">
      <c r="A24" s="4">
        <v>14</v>
      </c>
      <c r="B24" s="118" t="str">
        <f>IF('G2 MT Reading Scoresheet'!B24&lt;&gt;"",'G2 MT Reading Scoresheet'!B24,"")</f>
        <v/>
      </c>
      <c r="C24" s="133" t="str">
        <f>IF('G2 MT Reading Scoresheet'!C24&lt;&gt;"",'G2 MT Reading Scoresheet'!C24,"")</f>
        <v/>
      </c>
      <c r="D24" s="134" t="str">
        <f>IF('G2 MT Reading Scoresheet'!D24&lt;&gt;"",'G2 MT Reading Scoresheet'!D24,"")</f>
        <v/>
      </c>
      <c r="E24" s="135" t="str">
        <f>IF('G2 MT Reading Scoresheet'!E24&lt;&gt;"",'G2 MT Reading Scoresheet'!E24,"")</f>
        <v/>
      </c>
      <c r="F24" s="261" t="str">
        <f>IF('G2 MT Reading Scoresheet'!F24&lt;&gt;"",'G2 MT Reading Scoresheet'!F24,"")</f>
        <v/>
      </c>
      <c r="G24" s="262" t="str">
        <f>IF('G2 MT Reading Scoresheet'!G24&lt;&gt;"",'G2 MT Reading Scoresheet'!G24,"")</f>
        <v/>
      </c>
      <c r="H24" s="81" t="str">
        <f>IF('G2 MT Reading Scoresheet'!H24&lt;&gt;"",'G2 MT Reading Scoresheet'!H24,"")</f>
        <v/>
      </c>
      <c r="I24" s="81" t="str">
        <f>IF('G2 MT Reading Scoresheet'!I24&lt;&gt;"",'G2 MT Reading Scoresheet'!I24,"")</f>
        <v/>
      </c>
      <c r="J24" s="82" t="str">
        <f>IF('G2 MT Reading Scoresheet'!J24&lt;&gt;"",'G2 MT Reading Scoresheet'!J24,"")</f>
        <v/>
      </c>
      <c r="K24" s="263" t="str">
        <f>IF('G2 MT Reading Scoresheet'!K24&lt;&gt;"",'G2 MT Reading Scoresheet'!K24,"")</f>
        <v/>
      </c>
      <c r="L24" s="87" t="str">
        <f>IF('G2 MT Reading Scoresheet'!L24&lt;&gt;"",'G2 MT Reading Scoresheet'!L24,"")</f>
        <v/>
      </c>
      <c r="M24" s="118" t="str">
        <f>IF('G2 MT Reading Scoresheet'!M24&lt;&gt;"",'G2 MT Reading Scoresheet'!M24,"")</f>
        <v/>
      </c>
      <c r="N24" s="81" t="str">
        <f>IF('G2 MT Reading Scoresheet'!N24&lt;&gt;"",'G2 MT Reading Scoresheet'!N24,"")</f>
        <v/>
      </c>
      <c r="O24" s="81" t="str">
        <f>IF('G2 MT Reading Scoresheet'!O24&lt;&gt;"",'G2 MT Reading Scoresheet'!O24,"")</f>
        <v/>
      </c>
      <c r="P24" s="118" t="str">
        <f>IF('G2 MT Reading Scoresheet'!P24&lt;&gt;"",'G2 MT Reading Scoresheet'!P24,"")</f>
        <v/>
      </c>
      <c r="Q24" s="122" t="str">
        <f>IF('G2 MT Reading Scoresheet'!Q24&lt;&gt;"",'G2 MT Reading Scoresheet'!Q24,"")</f>
        <v/>
      </c>
      <c r="R24" s="81" t="str">
        <f>IF('G2 MT Reading Scoresheet'!R24&lt;&gt;"",'G2 MT Reading Scoresheet'!R24,"")</f>
        <v/>
      </c>
      <c r="S24" s="81" t="str">
        <f>IF('G2 MT Reading Scoresheet'!S24&lt;&gt;"",'G2 MT Reading Scoresheet'!S24,"")</f>
        <v/>
      </c>
      <c r="T24" s="82" t="str">
        <f>IF('G2 MT Reading Scoresheet'!T24&lt;&gt;"",'G2 MT Reading Scoresheet'!T24,"")</f>
        <v/>
      </c>
      <c r="U24" s="87" t="str">
        <f>IF('G2 MT Reading Scoresheet'!U24&lt;&gt;"",'G2 MT Reading Scoresheet'!U24,"")</f>
        <v/>
      </c>
      <c r="V24" s="264"/>
      <c r="Y24" s="218" t="str">
        <f t="shared" si="0"/>
        <v/>
      </c>
    </row>
    <row r="25" spans="1:25" ht="14.4" x14ac:dyDescent="0.3">
      <c r="A25" s="5">
        <v>15</v>
      </c>
      <c r="B25" s="118" t="str">
        <f>IF('G2 MT Reading Scoresheet'!B25&lt;&gt;"",'G2 MT Reading Scoresheet'!B25,"")</f>
        <v/>
      </c>
      <c r="C25" s="133" t="str">
        <f>IF('G2 MT Reading Scoresheet'!C25&lt;&gt;"",'G2 MT Reading Scoresheet'!C25,"")</f>
        <v/>
      </c>
      <c r="D25" s="134" t="str">
        <f>IF('G2 MT Reading Scoresheet'!D25&lt;&gt;"",'G2 MT Reading Scoresheet'!D25,"")</f>
        <v/>
      </c>
      <c r="E25" s="135" t="str">
        <f>IF('G2 MT Reading Scoresheet'!E25&lt;&gt;"",'G2 MT Reading Scoresheet'!E25,"")</f>
        <v/>
      </c>
      <c r="F25" s="265" t="str">
        <f>IF('G2 MT Reading Scoresheet'!F25&lt;&gt;"",'G2 MT Reading Scoresheet'!F25,"")</f>
        <v/>
      </c>
      <c r="G25" s="255" t="str">
        <f>IF('G2 MT Reading Scoresheet'!G25&lt;&gt;"",'G2 MT Reading Scoresheet'!G25,"")</f>
        <v/>
      </c>
      <c r="H25" s="266" t="str">
        <f>IF('G2 MT Reading Scoresheet'!H25&lt;&gt;"",'G2 MT Reading Scoresheet'!H25,"")</f>
        <v/>
      </c>
      <c r="I25" s="81" t="str">
        <f>IF('G2 MT Reading Scoresheet'!I25&lt;&gt;"",'G2 MT Reading Scoresheet'!I25,"")</f>
        <v/>
      </c>
      <c r="J25" s="82" t="str">
        <f>IF('G2 MT Reading Scoresheet'!J25&lt;&gt;"",'G2 MT Reading Scoresheet'!J25,"")</f>
        <v/>
      </c>
      <c r="K25" s="267" t="str">
        <f>IF('G2 MT Reading Scoresheet'!K25&lt;&gt;"",'G2 MT Reading Scoresheet'!K25,"")</f>
        <v/>
      </c>
      <c r="L25" s="268" t="str">
        <f>IF('G2 MT Reading Scoresheet'!L25&lt;&gt;"",'G2 MT Reading Scoresheet'!L25,"")</f>
        <v/>
      </c>
      <c r="M25" s="118" t="str">
        <f>IF('G2 MT Reading Scoresheet'!M25&lt;&gt;"",'G2 MT Reading Scoresheet'!M25,"")</f>
        <v/>
      </c>
      <c r="N25" s="266" t="str">
        <f>IF('G2 MT Reading Scoresheet'!N25&lt;&gt;"",'G2 MT Reading Scoresheet'!N25,"")</f>
        <v/>
      </c>
      <c r="O25" s="266" t="str">
        <f>IF('G2 MT Reading Scoresheet'!O25&lt;&gt;"",'G2 MT Reading Scoresheet'!O25,"")</f>
        <v/>
      </c>
      <c r="P25" s="118" t="str">
        <f>IF('G2 MT Reading Scoresheet'!P25&lt;&gt;"",'G2 MT Reading Scoresheet'!P25,"")</f>
        <v/>
      </c>
      <c r="Q25" s="122" t="str">
        <f>IF('G2 MT Reading Scoresheet'!Q25&lt;&gt;"",'G2 MT Reading Scoresheet'!Q25,"")</f>
        <v/>
      </c>
      <c r="R25" s="266" t="str">
        <f>IF('G2 MT Reading Scoresheet'!R25&lt;&gt;"",'G2 MT Reading Scoresheet'!R25,"")</f>
        <v/>
      </c>
      <c r="S25" s="266" t="str">
        <f>IF('G2 MT Reading Scoresheet'!S25&lt;&gt;"",'G2 MT Reading Scoresheet'!S25,"")</f>
        <v/>
      </c>
      <c r="T25" s="269" t="str">
        <f>IF('G2 MT Reading Scoresheet'!T25&lt;&gt;"",'G2 MT Reading Scoresheet'!T25,"")</f>
        <v/>
      </c>
      <c r="U25" s="87" t="str">
        <f>IF('G2 MT Reading Scoresheet'!U25&lt;&gt;"",'G2 MT Reading Scoresheet'!U25,"")</f>
        <v/>
      </c>
      <c r="V25" s="270"/>
      <c r="Y25" s="218" t="str">
        <f t="shared" si="0"/>
        <v/>
      </c>
    </row>
    <row r="26" spans="1:25" ht="14.4" x14ac:dyDescent="0.3">
      <c r="A26" s="4">
        <v>16</v>
      </c>
      <c r="B26" s="118" t="str">
        <f>IF('G2 MT Reading Scoresheet'!B26&lt;&gt;"",'G2 MT Reading Scoresheet'!B26,"")</f>
        <v/>
      </c>
      <c r="C26" s="133" t="str">
        <f>IF('G2 MT Reading Scoresheet'!C26&lt;&gt;"",'G2 MT Reading Scoresheet'!C26,"")</f>
        <v/>
      </c>
      <c r="D26" s="134" t="str">
        <f>IF('G2 MT Reading Scoresheet'!D26&lt;&gt;"",'G2 MT Reading Scoresheet'!D26,"")</f>
        <v/>
      </c>
      <c r="E26" s="135" t="str">
        <f>IF('G2 MT Reading Scoresheet'!E26&lt;&gt;"",'G2 MT Reading Scoresheet'!E26,"")</f>
        <v/>
      </c>
      <c r="F26" s="261" t="str">
        <f>IF('G2 MT Reading Scoresheet'!F26&lt;&gt;"",'G2 MT Reading Scoresheet'!F26,"")</f>
        <v/>
      </c>
      <c r="G26" s="262" t="str">
        <f>IF('G2 MT Reading Scoresheet'!G26&lt;&gt;"",'G2 MT Reading Scoresheet'!G26,"")</f>
        <v/>
      </c>
      <c r="H26" s="81" t="str">
        <f>IF('G2 MT Reading Scoresheet'!H26&lt;&gt;"",'G2 MT Reading Scoresheet'!H26,"")</f>
        <v/>
      </c>
      <c r="I26" s="81" t="str">
        <f>IF('G2 MT Reading Scoresheet'!I26&lt;&gt;"",'G2 MT Reading Scoresheet'!I26,"")</f>
        <v/>
      </c>
      <c r="J26" s="82" t="str">
        <f>IF('G2 MT Reading Scoresheet'!J26&lt;&gt;"",'G2 MT Reading Scoresheet'!J26,"")</f>
        <v/>
      </c>
      <c r="K26" s="263" t="str">
        <f>IF('G2 MT Reading Scoresheet'!K26&lt;&gt;"",'G2 MT Reading Scoresheet'!K26,"")</f>
        <v/>
      </c>
      <c r="L26" s="87" t="str">
        <f>IF('G2 MT Reading Scoresheet'!L26&lt;&gt;"",'G2 MT Reading Scoresheet'!L26,"")</f>
        <v/>
      </c>
      <c r="M26" s="118" t="str">
        <f>IF('G2 MT Reading Scoresheet'!M26&lt;&gt;"",'G2 MT Reading Scoresheet'!M26,"")</f>
        <v/>
      </c>
      <c r="N26" s="81" t="str">
        <f>IF('G2 MT Reading Scoresheet'!N26&lt;&gt;"",'G2 MT Reading Scoresheet'!N26,"")</f>
        <v/>
      </c>
      <c r="O26" s="81" t="str">
        <f>IF('G2 MT Reading Scoresheet'!O26&lt;&gt;"",'G2 MT Reading Scoresheet'!O26,"")</f>
        <v/>
      </c>
      <c r="P26" s="118" t="str">
        <f>IF('G2 MT Reading Scoresheet'!P26&lt;&gt;"",'G2 MT Reading Scoresheet'!P26,"")</f>
        <v/>
      </c>
      <c r="Q26" s="122" t="str">
        <f>IF('G2 MT Reading Scoresheet'!Q26&lt;&gt;"",'G2 MT Reading Scoresheet'!Q26,"")</f>
        <v/>
      </c>
      <c r="R26" s="81" t="str">
        <f>IF('G2 MT Reading Scoresheet'!R26&lt;&gt;"",'G2 MT Reading Scoresheet'!R26,"")</f>
        <v/>
      </c>
      <c r="S26" s="81" t="str">
        <f>IF('G2 MT Reading Scoresheet'!S26&lt;&gt;"",'G2 MT Reading Scoresheet'!S26,"")</f>
        <v/>
      </c>
      <c r="T26" s="82" t="str">
        <f>IF('G2 MT Reading Scoresheet'!T26&lt;&gt;"",'G2 MT Reading Scoresheet'!T26,"")</f>
        <v/>
      </c>
      <c r="U26" s="87" t="str">
        <f>IF('G2 MT Reading Scoresheet'!U26&lt;&gt;"",'G2 MT Reading Scoresheet'!U26,"")</f>
        <v/>
      </c>
      <c r="V26" s="264"/>
      <c r="Y26" s="218" t="str">
        <f t="shared" si="0"/>
        <v/>
      </c>
    </row>
    <row r="27" spans="1:25" ht="14.4" x14ac:dyDescent="0.3">
      <c r="A27" s="5">
        <v>17</v>
      </c>
      <c r="B27" s="118" t="str">
        <f>IF('G2 MT Reading Scoresheet'!B27&lt;&gt;"",'G2 MT Reading Scoresheet'!B27,"")</f>
        <v/>
      </c>
      <c r="C27" s="133" t="str">
        <f>IF('G2 MT Reading Scoresheet'!C27&lt;&gt;"",'G2 MT Reading Scoresheet'!C27,"")</f>
        <v/>
      </c>
      <c r="D27" s="134" t="str">
        <f>IF('G2 MT Reading Scoresheet'!D27&lt;&gt;"",'G2 MT Reading Scoresheet'!D27,"")</f>
        <v/>
      </c>
      <c r="E27" s="135" t="str">
        <f>IF('G2 MT Reading Scoresheet'!E27&lt;&gt;"",'G2 MT Reading Scoresheet'!E27,"")</f>
        <v/>
      </c>
      <c r="F27" s="265" t="str">
        <f>IF('G2 MT Reading Scoresheet'!F27&lt;&gt;"",'G2 MT Reading Scoresheet'!F27,"")</f>
        <v/>
      </c>
      <c r="G27" s="255" t="str">
        <f>IF('G2 MT Reading Scoresheet'!G27&lt;&gt;"",'G2 MT Reading Scoresheet'!G27,"")</f>
        <v/>
      </c>
      <c r="H27" s="266" t="str">
        <f>IF('G2 MT Reading Scoresheet'!H27&lt;&gt;"",'G2 MT Reading Scoresheet'!H27,"")</f>
        <v/>
      </c>
      <c r="I27" s="81" t="str">
        <f>IF('G2 MT Reading Scoresheet'!I27&lt;&gt;"",'G2 MT Reading Scoresheet'!I27,"")</f>
        <v/>
      </c>
      <c r="J27" s="82" t="str">
        <f>IF('G2 MT Reading Scoresheet'!J27&lt;&gt;"",'G2 MT Reading Scoresheet'!J27,"")</f>
        <v/>
      </c>
      <c r="K27" s="267" t="str">
        <f>IF('G2 MT Reading Scoresheet'!K27&lt;&gt;"",'G2 MT Reading Scoresheet'!K27,"")</f>
        <v/>
      </c>
      <c r="L27" s="268" t="str">
        <f>IF('G2 MT Reading Scoresheet'!L27&lt;&gt;"",'G2 MT Reading Scoresheet'!L27,"")</f>
        <v/>
      </c>
      <c r="M27" s="118" t="str">
        <f>IF('G2 MT Reading Scoresheet'!M27&lt;&gt;"",'G2 MT Reading Scoresheet'!M27,"")</f>
        <v/>
      </c>
      <c r="N27" s="266" t="str">
        <f>IF('G2 MT Reading Scoresheet'!N27&lt;&gt;"",'G2 MT Reading Scoresheet'!N27,"")</f>
        <v/>
      </c>
      <c r="O27" s="266" t="str">
        <f>IF('G2 MT Reading Scoresheet'!O27&lt;&gt;"",'G2 MT Reading Scoresheet'!O27,"")</f>
        <v/>
      </c>
      <c r="P27" s="118" t="str">
        <f>IF('G2 MT Reading Scoresheet'!P27&lt;&gt;"",'G2 MT Reading Scoresheet'!P27,"")</f>
        <v/>
      </c>
      <c r="Q27" s="122" t="str">
        <f>IF('G2 MT Reading Scoresheet'!Q27&lt;&gt;"",'G2 MT Reading Scoresheet'!Q27,"")</f>
        <v/>
      </c>
      <c r="R27" s="266" t="str">
        <f>IF('G2 MT Reading Scoresheet'!R27&lt;&gt;"",'G2 MT Reading Scoresheet'!R27,"")</f>
        <v/>
      </c>
      <c r="S27" s="266" t="str">
        <f>IF('G2 MT Reading Scoresheet'!S27&lt;&gt;"",'G2 MT Reading Scoresheet'!S27,"")</f>
        <v/>
      </c>
      <c r="T27" s="269" t="str">
        <f>IF('G2 MT Reading Scoresheet'!T27&lt;&gt;"",'G2 MT Reading Scoresheet'!T27,"")</f>
        <v/>
      </c>
      <c r="U27" s="87" t="str">
        <f>IF('G2 MT Reading Scoresheet'!U27&lt;&gt;"",'G2 MT Reading Scoresheet'!U27,"")</f>
        <v/>
      </c>
      <c r="V27" s="270"/>
      <c r="Y27" s="218" t="str">
        <f t="shared" si="0"/>
        <v/>
      </c>
    </row>
    <row r="28" spans="1:25" ht="14.4" x14ac:dyDescent="0.3">
      <c r="A28" s="4">
        <v>18</v>
      </c>
      <c r="B28" s="118" t="str">
        <f>IF('G2 MT Reading Scoresheet'!B28&lt;&gt;"",'G2 MT Reading Scoresheet'!B28,"")</f>
        <v/>
      </c>
      <c r="C28" s="133" t="str">
        <f>IF('G2 MT Reading Scoresheet'!C28&lt;&gt;"",'G2 MT Reading Scoresheet'!C28,"")</f>
        <v/>
      </c>
      <c r="D28" s="134" t="str">
        <f>IF('G2 MT Reading Scoresheet'!D28&lt;&gt;"",'G2 MT Reading Scoresheet'!D28,"")</f>
        <v/>
      </c>
      <c r="E28" s="135" t="str">
        <f>IF('G2 MT Reading Scoresheet'!E28&lt;&gt;"",'G2 MT Reading Scoresheet'!E28,"")</f>
        <v/>
      </c>
      <c r="F28" s="261" t="str">
        <f>IF('G2 MT Reading Scoresheet'!F28&lt;&gt;"",'G2 MT Reading Scoresheet'!F28,"")</f>
        <v/>
      </c>
      <c r="G28" s="262" t="str">
        <f>IF('G2 MT Reading Scoresheet'!G28&lt;&gt;"",'G2 MT Reading Scoresheet'!G28,"")</f>
        <v/>
      </c>
      <c r="H28" s="81" t="str">
        <f>IF('G2 MT Reading Scoresheet'!H28&lt;&gt;"",'G2 MT Reading Scoresheet'!H28,"")</f>
        <v/>
      </c>
      <c r="I28" s="81" t="str">
        <f>IF('G2 MT Reading Scoresheet'!I28&lt;&gt;"",'G2 MT Reading Scoresheet'!I28,"")</f>
        <v/>
      </c>
      <c r="J28" s="82" t="str">
        <f>IF('G2 MT Reading Scoresheet'!J28&lt;&gt;"",'G2 MT Reading Scoresheet'!J28,"")</f>
        <v/>
      </c>
      <c r="K28" s="263" t="str">
        <f>IF('G2 MT Reading Scoresheet'!K28&lt;&gt;"",'G2 MT Reading Scoresheet'!K28,"")</f>
        <v/>
      </c>
      <c r="L28" s="87" t="str">
        <f>IF('G2 MT Reading Scoresheet'!L28&lt;&gt;"",'G2 MT Reading Scoresheet'!L28,"")</f>
        <v/>
      </c>
      <c r="M28" s="118" t="str">
        <f>IF('G2 MT Reading Scoresheet'!M28&lt;&gt;"",'G2 MT Reading Scoresheet'!M28,"")</f>
        <v/>
      </c>
      <c r="N28" s="81" t="str">
        <f>IF('G2 MT Reading Scoresheet'!N28&lt;&gt;"",'G2 MT Reading Scoresheet'!N28,"")</f>
        <v/>
      </c>
      <c r="O28" s="81" t="str">
        <f>IF('G2 MT Reading Scoresheet'!O28&lt;&gt;"",'G2 MT Reading Scoresheet'!O28,"")</f>
        <v/>
      </c>
      <c r="P28" s="118" t="str">
        <f>IF('G2 MT Reading Scoresheet'!P28&lt;&gt;"",'G2 MT Reading Scoresheet'!P28,"")</f>
        <v/>
      </c>
      <c r="Q28" s="122" t="str">
        <f>IF('G2 MT Reading Scoresheet'!Q28&lt;&gt;"",'G2 MT Reading Scoresheet'!Q28,"")</f>
        <v/>
      </c>
      <c r="R28" s="81" t="str">
        <f>IF('G2 MT Reading Scoresheet'!R28&lt;&gt;"",'G2 MT Reading Scoresheet'!R28,"")</f>
        <v/>
      </c>
      <c r="S28" s="81" t="str">
        <f>IF('G2 MT Reading Scoresheet'!S28&lt;&gt;"",'G2 MT Reading Scoresheet'!S28,"")</f>
        <v/>
      </c>
      <c r="T28" s="82" t="str">
        <f>IF('G2 MT Reading Scoresheet'!T28&lt;&gt;"",'G2 MT Reading Scoresheet'!T28,"")</f>
        <v/>
      </c>
      <c r="U28" s="87" t="str">
        <f>IF('G2 MT Reading Scoresheet'!U28&lt;&gt;"",'G2 MT Reading Scoresheet'!U28,"")</f>
        <v/>
      </c>
      <c r="V28" s="264"/>
      <c r="Y28" s="218" t="str">
        <f t="shared" si="0"/>
        <v/>
      </c>
    </row>
    <row r="29" spans="1:25" ht="14.4" x14ac:dyDescent="0.3">
      <c r="A29" s="5">
        <v>19</v>
      </c>
      <c r="B29" s="118" t="str">
        <f>IF('G2 MT Reading Scoresheet'!B29&lt;&gt;"",'G2 MT Reading Scoresheet'!B29,"")</f>
        <v/>
      </c>
      <c r="C29" s="133" t="str">
        <f>IF('G2 MT Reading Scoresheet'!C29&lt;&gt;"",'G2 MT Reading Scoresheet'!C29,"")</f>
        <v/>
      </c>
      <c r="D29" s="134" t="str">
        <f>IF('G2 MT Reading Scoresheet'!D29&lt;&gt;"",'G2 MT Reading Scoresheet'!D29,"")</f>
        <v/>
      </c>
      <c r="E29" s="135" t="str">
        <f>IF('G2 MT Reading Scoresheet'!E29&lt;&gt;"",'G2 MT Reading Scoresheet'!E29,"")</f>
        <v/>
      </c>
      <c r="F29" s="265" t="str">
        <f>IF('G2 MT Reading Scoresheet'!F29&lt;&gt;"",'G2 MT Reading Scoresheet'!F29,"")</f>
        <v/>
      </c>
      <c r="G29" s="255" t="str">
        <f>IF('G2 MT Reading Scoresheet'!G29&lt;&gt;"",'G2 MT Reading Scoresheet'!G29,"")</f>
        <v/>
      </c>
      <c r="H29" s="266" t="str">
        <f>IF('G2 MT Reading Scoresheet'!H29&lt;&gt;"",'G2 MT Reading Scoresheet'!H29,"")</f>
        <v/>
      </c>
      <c r="I29" s="81" t="str">
        <f>IF('G2 MT Reading Scoresheet'!I29&lt;&gt;"",'G2 MT Reading Scoresheet'!I29,"")</f>
        <v/>
      </c>
      <c r="J29" s="82" t="str">
        <f>IF('G2 MT Reading Scoresheet'!J29&lt;&gt;"",'G2 MT Reading Scoresheet'!J29,"")</f>
        <v/>
      </c>
      <c r="K29" s="267" t="str">
        <f>IF('G2 MT Reading Scoresheet'!K29&lt;&gt;"",'G2 MT Reading Scoresheet'!K29,"")</f>
        <v/>
      </c>
      <c r="L29" s="268" t="str">
        <f>IF('G2 MT Reading Scoresheet'!L29&lt;&gt;"",'G2 MT Reading Scoresheet'!L29,"")</f>
        <v/>
      </c>
      <c r="M29" s="118" t="str">
        <f>IF('G2 MT Reading Scoresheet'!M29&lt;&gt;"",'G2 MT Reading Scoresheet'!M29,"")</f>
        <v/>
      </c>
      <c r="N29" s="266" t="str">
        <f>IF('G2 MT Reading Scoresheet'!N29&lt;&gt;"",'G2 MT Reading Scoresheet'!N29,"")</f>
        <v/>
      </c>
      <c r="O29" s="266" t="str">
        <f>IF('G2 MT Reading Scoresheet'!O29&lt;&gt;"",'G2 MT Reading Scoresheet'!O29,"")</f>
        <v/>
      </c>
      <c r="P29" s="118" t="str">
        <f>IF('G2 MT Reading Scoresheet'!P29&lt;&gt;"",'G2 MT Reading Scoresheet'!P29,"")</f>
        <v/>
      </c>
      <c r="Q29" s="122" t="str">
        <f>IF('G2 MT Reading Scoresheet'!Q29&lt;&gt;"",'G2 MT Reading Scoresheet'!Q29,"")</f>
        <v/>
      </c>
      <c r="R29" s="266" t="str">
        <f>IF('G2 MT Reading Scoresheet'!R29&lt;&gt;"",'G2 MT Reading Scoresheet'!R29,"")</f>
        <v/>
      </c>
      <c r="S29" s="266" t="str">
        <f>IF('G2 MT Reading Scoresheet'!S29&lt;&gt;"",'G2 MT Reading Scoresheet'!S29,"")</f>
        <v/>
      </c>
      <c r="T29" s="269" t="str">
        <f>IF('G2 MT Reading Scoresheet'!T29&lt;&gt;"",'G2 MT Reading Scoresheet'!T29,"")</f>
        <v/>
      </c>
      <c r="U29" s="87" t="str">
        <f>IF('G2 MT Reading Scoresheet'!U29&lt;&gt;"",'G2 MT Reading Scoresheet'!U29,"")</f>
        <v/>
      </c>
      <c r="V29" s="270"/>
      <c r="Y29" s="218" t="str">
        <f t="shared" si="0"/>
        <v/>
      </c>
    </row>
    <row r="30" spans="1:25" ht="14.4" x14ac:dyDescent="0.3">
      <c r="A30" s="4">
        <v>20</v>
      </c>
      <c r="B30" s="118" t="str">
        <f>IF('G2 MT Reading Scoresheet'!B30&lt;&gt;"",'G2 MT Reading Scoresheet'!B30,"")</f>
        <v/>
      </c>
      <c r="C30" s="133" t="str">
        <f>IF('G2 MT Reading Scoresheet'!C30&lt;&gt;"",'G2 MT Reading Scoresheet'!C30,"")</f>
        <v/>
      </c>
      <c r="D30" s="134" t="str">
        <f>IF('G2 MT Reading Scoresheet'!D30&lt;&gt;"",'G2 MT Reading Scoresheet'!D30,"")</f>
        <v/>
      </c>
      <c r="E30" s="135" t="str">
        <f>IF('G2 MT Reading Scoresheet'!E30&lt;&gt;"",'G2 MT Reading Scoresheet'!E30,"")</f>
        <v/>
      </c>
      <c r="F30" s="261" t="str">
        <f>IF('G2 MT Reading Scoresheet'!F30&lt;&gt;"",'G2 MT Reading Scoresheet'!F30,"")</f>
        <v/>
      </c>
      <c r="G30" s="262" t="str">
        <f>IF('G2 MT Reading Scoresheet'!G30&lt;&gt;"",'G2 MT Reading Scoresheet'!G30,"")</f>
        <v/>
      </c>
      <c r="H30" s="81" t="str">
        <f>IF('G2 MT Reading Scoresheet'!H30&lt;&gt;"",'G2 MT Reading Scoresheet'!H30,"")</f>
        <v/>
      </c>
      <c r="I30" s="81" t="str">
        <f>IF('G2 MT Reading Scoresheet'!I30&lt;&gt;"",'G2 MT Reading Scoresheet'!I30,"")</f>
        <v/>
      </c>
      <c r="J30" s="82" t="str">
        <f>IF('G2 MT Reading Scoresheet'!J30&lt;&gt;"",'G2 MT Reading Scoresheet'!J30,"")</f>
        <v/>
      </c>
      <c r="K30" s="263" t="str">
        <f>IF('G2 MT Reading Scoresheet'!K30&lt;&gt;"",'G2 MT Reading Scoresheet'!K30,"")</f>
        <v/>
      </c>
      <c r="L30" s="87" t="str">
        <f>IF('G2 MT Reading Scoresheet'!L30&lt;&gt;"",'G2 MT Reading Scoresheet'!L30,"")</f>
        <v/>
      </c>
      <c r="M30" s="118" t="str">
        <f>IF('G2 MT Reading Scoresheet'!M30&lt;&gt;"",'G2 MT Reading Scoresheet'!M30,"")</f>
        <v/>
      </c>
      <c r="N30" s="81" t="str">
        <f>IF('G2 MT Reading Scoresheet'!N30&lt;&gt;"",'G2 MT Reading Scoresheet'!N30,"")</f>
        <v/>
      </c>
      <c r="O30" s="81" t="str">
        <f>IF('G2 MT Reading Scoresheet'!O30&lt;&gt;"",'G2 MT Reading Scoresheet'!O30,"")</f>
        <v/>
      </c>
      <c r="P30" s="118" t="str">
        <f>IF('G2 MT Reading Scoresheet'!P30&lt;&gt;"",'G2 MT Reading Scoresheet'!P30,"")</f>
        <v/>
      </c>
      <c r="Q30" s="122" t="str">
        <f>IF('G2 MT Reading Scoresheet'!Q30&lt;&gt;"",'G2 MT Reading Scoresheet'!Q30,"")</f>
        <v/>
      </c>
      <c r="R30" s="81" t="str">
        <f>IF('G2 MT Reading Scoresheet'!R30&lt;&gt;"",'G2 MT Reading Scoresheet'!R30,"")</f>
        <v/>
      </c>
      <c r="S30" s="81" t="str">
        <f>IF('G2 MT Reading Scoresheet'!S30&lt;&gt;"",'G2 MT Reading Scoresheet'!S30,"")</f>
        <v/>
      </c>
      <c r="T30" s="82" t="str">
        <f>IF('G2 MT Reading Scoresheet'!T30&lt;&gt;"",'G2 MT Reading Scoresheet'!T30,"")</f>
        <v/>
      </c>
      <c r="U30" s="87" t="str">
        <f>IF('G2 MT Reading Scoresheet'!U30&lt;&gt;"",'G2 MT Reading Scoresheet'!U30,"")</f>
        <v/>
      </c>
      <c r="V30" s="264"/>
      <c r="Y30" s="218" t="str">
        <f t="shared" si="0"/>
        <v/>
      </c>
    </row>
    <row r="31" spans="1:25" ht="14.4" x14ac:dyDescent="0.3">
      <c r="A31" s="5">
        <v>21</v>
      </c>
      <c r="B31" s="118" t="str">
        <f>IF('G2 MT Reading Scoresheet'!B31&lt;&gt;"",'G2 MT Reading Scoresheet'!B31,"")</f>
        <v/>
      </c>
      <c r="C31" s="133" t="str">
        <f>IF('G2 MT Reading Scoresheet'!C31&lt;&gt;"",'G2 MT Reading Scoresheet'!C31,"")</f>
        <v/>
      </c>
      <c r="D31" s="134" t="str">
        <f>IF('G2 MT Reading Scoresheet'!D31&lt;&gt;"",'G2 MT Reading Scoresheet'!D31,"")</f>
        <v/>
      </c>
      <c r="E31" s="135" t="str">
        <f>IF('G2 MT Reading Scoresheet'!E31&lt;&gt;"",'G2 MT Reading Scoresheet'!E31,"")</f>
        <v/>
      </c>
      <c r="F31" s="265" t="str">
        <f>IF('G2 MT Reading Scoresheet'!F31&lt;&gt;"",'G2 MT Reading Scoresheet'!F31,"")</f>
        <v/>
      </c>
      <c r="G31" s="255" t="str">
        <f>IF('G2 MT Reading Scoresheet'!G31&lt;&gt;"",'G2 MT Reading Scoresheet'!G31,"")</f>
        <v/>
      </c>
      <c r="H31" s="266" t="str">
        <f>IF('G2 MT Reading Scoresheet'!H31&lt;&gt;"",'G2 MT Reading Scoresheet'!H31,"")</f>
        <v/>
      </c>
      <c r="I31" s="81" t="str">
        <f>IF('G2 MT Reading Scoresheet'!I31&lt;&gt;"",'G2 MT Reading Scoresheet'!I31,"")</f>
        <v/>
      </c>
      <c r="J31" s="82" t="str">
        <f>IF('G2 MT Reading Scoresheet'!J31&lt;&gt;"",'G2 MT Reading Scoresheet'!J31,"")</f>
        <v/>
      </c>
      <c r="K31" s="267" t="str">
        <f>IF('G2 MT Reading Scoresheet'!K31&lt;&gt;"",'G2 MT Reading Scoresheet'!K31,"")</f>
        <v/>
      </c>
      <c r="L31" s="268" t="str">
        <f>IF('G2 MT Reading Scoresheet'!L31&lt;&gt;"",'G2 MT Reading Scoresheet'!L31,"")</f>
        <v/>
      </c>
      <c r="M31" s="118" t="str">
        <f>IF('G2 MT Reading Scoresheet'!M31&lt;&gt;"",'G2 MT Reading Scoresheet'!M31,"")</f>
        <v/>
      </c>
      <c r="N31" s="81" t="str">
        <f>IF('G2 MT Reading Scoresheet'!N31&lt;&gt;"",'G2 MT Reading Scoresheet'!N31,"")</f>
        <v/>
      </c>
      <c r="O31" s="266" t="str">
        <f>IF('G2 MT Reading Scoresheet'!O31&lt;&gt;"",'G2 MT Reading Scoresheet'!O31,"")</f>
        <v/>
      </c>
      <c r="P31" s="118" t="str">
        <f>IF('G2 MT Reading Scoresheet'!P31&lt;&gt;"",'G2 MT Reading Scoresheet'!P31,"")</f>
        <v/>
      </c>
      <c r="Q31" s="122" t="str">
        <f>IF('G2 MT Reading Scoresheet'!Q31&lt;&gt;"",'G2 MT Reading Scoresheet'!Q31,"")</f>
        <v/>
      </c>
      <c r="R31" s="266" t="str">
        <f>IF('G2 MT Reading Scoresheet'!R31&lt;&gt;"",'G2 MT Reading Scoresheet'!R31,"")</f>
        <v/>
      </c>
      <c r="S31" s="266" t="str">
        <f>IF('G2 MT Reading Scoresheet'!S31&lt;&gt;"",'G2 MT Reading Scoresheet'!S31,"")</f>
        <v/>
      </c>
      <c r="T31" s="269" t="str">
        <f>IF('G2 MT Reading Scoresheet'!T31&lt;&gt;"",'G2 MT Reading Scoresheet'!T31,"")</f>
        <v/>
      </c>
      <c r="U31" s="87" t="str">
        <f>IF('G2 MT Reading Scoresheet'!U31&lt;&gt;"",'G2 MT Reading Scoresheet'!U31,"")</f>
        <v/>
      </c>
      <c r="V31" s="270"/>
      <c r="Y31" s="218" t="str">
        <f t="shared" si="0"/>
        <v/>
      </c>
    </row>
    <row r="32" spans="1:25" ht="14.4" x14ac:dyDescent="0.3">
      <c r="A32" s="4">
        <v>22</v>
      </c>
      <c r="B32" s="118" t="str">
        <f>IF('G2 MT Reading Scoresheet'!B32&lt;&gt;"",'G2 MT Reading Scoresheet'!B32,"")</f>
        <v/>
      </c>
      <c r="C32" s="133" t="str">
        <f>IF('G2 MT Reading Scoresheet'!C32&lt;&gt;"",'G2 MT Reading Scoresheet'!C32,"")</f>
        <v/>
      </c>
      <c r="D32" s="134" t="str">
        <f>IF('G2 MT Reading Scoresheet'!D32&lt;&gt;"",'G2 MT Reading Scoresheet'!D32,"")</f>
        <v/>
      </c>
      <c r="E32" s="135" t="str">
        <f>IF('G2 MT Reading Scoresheet'!E32&lt;&gt;"",'G2 MT Reading Scoresheet'!E32,"")</f>
        <v/>
      </c>
      <c r="F32" s="261" t="str">
        <f>IF('G2 MT Reading Scoresheet'!F32&lt;&gt;"",'G2 MT Reading Scoresheet'!F32,"")</f>
        <v/>
      </c>
      <c r="G32" s="262" t="str">
        <f>IF('G2 MT Reading Scoresheet'!G32&lt;&gt;"",'G2 MT Reading Scoresheet'!G32,"")</f>
        <v/>
      </c>
      <c r="H32" s="81" t="str">
        <f>IF('G2 MT Reading Scoresheet'!H32&lt;&gt;"",'G2 MT Reading Scoresheet'!H32,"")</f>
        <v/>
      </c>
      <c r="I32" s="81" t="str">
        <f>IF('G2 MT Reading Scoresheet'!I32&lt;&gt;"",'G2 MT Reading Scoresheet'!I32,"")</f>
        <v/>
      </c>
      <c r="J32" s="82" t="str">
        <f>IF('G2 MT Reading Scoresheet'!J32&lt;&gt;"",'G2 MT Reading Scoresheet'!J32,"")</f>
        <v/>
      </c>
      <c r="K32" s="263" t="str">
        <f>IF('G2 MT Reading Scoresheet'!K32&lt;&gt;"",'G2 MT Reading Scoresheet'!K32,"")</f>
        <v/>
      </c>
      <c r="L32" s="87" t="str">
        <f>IF('G2 MT Reading Scoresheet'!L32&lt;&gt;"",'G2 MT Reading Scoresheet'!L32,"")</f>
        <v/>
      </c>
      <c r="M32" s="118" t="str">
        <f>IF('G2 MT Reading Scoresheet'!M32&lt;&gt;"",'G2 MT Reading Scoresheet'!M32,"")</f>
        <v/>
      </c>
      <c r="N32" s="81" t="str">
        <f>IF('G2 MT Reading Scoresheet'!N32&lt;&gt;"",'G2 MT Reading Scoresheet'!N32,"")</f>
        <v/>
      </c>
      <c r="O32" s="81" t="str">
        <f>IF('G2 MT Reading Scoresheet'!O32&lt;&gt;"",'G2 MT Reading Scoresheet'!O32,"")</f>
        <v/>
      </c>
      <c r="P32" s="118" t="str">
        <f>IF('G2 MT Reading Scoresheet'!P32&lt;&gt;"",'G2 MT Reading Scoresheet'!P32,"")</f>
        <v/>
      </c>
      <c r="Q32" s="122" t="str">
        <f>IF('G2 MT Reading Scoresheet'!Q32&lt;&gt;"",'G2 MT Reading Scoresheet'!Q32,"")</f>
        <v/>
      </c>
      <c r="R32" s="81" t="str">
        <f>IF('G2 MT Reading Scoresheet'!R32&lt;&gt;"",'G2 MT Reading Scoresheet'!R32,"")</f>
        <v/>
      </c>
      <c r="S32" s="81" t="str">
        <f>IF('G2 MT Reading Scoresheet'!S32&lt;&gt;"",'G2 MT Reading Scoresheet'!S32,"")</f>
        <v/>
      </c>
      <c r="T32" s="82" t="str">
        <f>IF('G2 MT Reading Scoresheet'!T32&lt;&gt;"",'G2 MT Reading Scoresheet'!T32,"")</f>
        <v/>
      </c>
      <c r="U32" s="87" t="str">
        <f>IF('G2 MT Reading Scoresheet'!U32&lt;&gt;"",'G2 MT Reading Scoresheet'!U32,"")</f>
        <v/>
      </c>
      <c r="V32" s="264"/>
      <c r="Y32" s="218" t="str">
        <f t="shared" si="0"/>
        <v/>
      </c>
    </row>
    <row r="33" spans="1:25" ht="14.4" x14ac:dyDescent="0.3">
      <c r="A33" s="5">
        <v>23</v>
      </c>
      <c r="B33" s="118" t="str">
        <f>IF('G2 MT Reading Scoresheet'!B33&lt;&gt;"",'G2 MT Reading Scoresheet'!B33,"")</f>
        <v/>
      </c>
      <c r="C33" s="133" t="str">
        <f>IF('G2 MT Reading Scoresheet'!C33&lt;&gt;"",'G2 MT Reading Scoresheet'!C33,"")</f>
        <v/>
      </c>
      <c r="D33" s="134" t="str">
        <f>IF('G2 MT Reading Scoresheet'!D33&lt;&gt;"",'G2 MT Reading Scoresheet'!D33,"")</f>
        <v/>
      </c>
      <c r="E33" s="135" t="str">
        <f>IF('G2 MT Reading Scoresheet'!E33&lt;&gt;"",'G2 MT Reading Scoresheet'!E33,"")</f>
        <v/>
      </c>
      <c r="F33" s="265" t="str">
        <f>IF('G2 MT Reading Scoresheet'!F33&lt;&gt;"",'G2 MT Reading Scoresheet'!F33,"")</f>
        <v/>
      </c>
      <c r="G33" s="255" t="str">
        <f>IF('G2 MT Reading Scoresheet'!G33&lt;&gt;"",'G2 MT Reading Scoresheet'!G33,"")</f>
        <v/>
      </c>
      <c r="H33" s="266" t="str">
        <f>IF('G2 MT Reading Scoresheet'!H33&lt;&gt;"",'G2 MT Reading Scoresheet'!H33,"")</f>
        <v/>
      </c>
      <c r="I33" s="81" t="str">
        <f>IF('G2 MT Reading Scoresheet'!I33&lt;&gt;"",'G2 MT Reading Scoresheet'!I33,"")</f>
        <v/>
      </c>
      <c r="J33" s="82" t="str">
        <f>IF('G2 MT Reading Scoresheet'!J33&lt;&gt;"",'G2 MT Reading Scoresheet'!J33,"")</f>
        <v/>
      </c>
      <c r="K33" s="267" t="str">
        <f>IF('G2 MT Reading Scoresheet'!K33&lt;&gt;"",'G2 MT Reading Scoresheet'!K33,"")</f>
        <v/>
      </c>
      <c r="L33" s="268" t="str">
        <f>IF('G2 MT Reading Scoresheet'!L33&lt;&gt;"",'G2 MT Reading Scoresheet'!L33,"")</f>
        <v/>
      </c>
      <c r="M33" s="118" t="str">
        <f>IF('G2 MT Reading Scoresheet'!M33&lt;&gt;"",'G2 MT Reading Scoresheet'!M33,"")</f>
        <v/>
      </c>
      <c r="N33" s="81" t="str">
        <f>IF('G2 MT Reading Scoresheet'!N33&lt;&gt;"",'G2 MT Reading Scoresheet'!N33,"")</f>
        <v/>
      </c>
      <c r="O33" s="266" t="str">
        <f>IF('G2 MT Reading Scoresheet'!O33&lt;&gt;"",'G2 MT Reading Scoresheet'!O33,"")</f>
        <v/>
      </c>
      <c r="P33" s="118" t="str">
        <f>IF('G2 MT Reading Scoresheet'!P33&lt;&gt;"",'G2 MT Reading Scoresheet'!P33,"")</f>
        <v/>
      </c>
      <c r="Q33" s="122" t="str">
        <f>IF('G2 MT Reading Scoresheet'!Q33&lt;&gt;"",'G2 MT Reading Scoresheet'!Q33,"")</f>
        <v/>
      </c>
      <c r="R33" s="266" t="str">
        <f>IF('G2 MT Reading Scoresheet'!R33&lt;&gt;"",'G2 MT Reading Scoresheet'!R33,"")</f>
        <v/>
      </c>
      <c r="S33" s="266" t="str">
        <f>IF('G2 MT Reading Scoresheet'!S33&lt;&gt;"",'G2 MT Reading Scoresheet'!S33,"")</f>
        <v/>
      </c>
      <c r="T33" s="269" t="str">
        <f>IF('G2 MT Reading Scoresheet'!T33&lt;&gt;"",'G2 MT Reading Scoresheet'!T33,"")</f>
        <v/>
      </c>
      <c r="U33" s="87" t="str">
        <f>IF('G2 MT Reading Scoresheet'!U33&lt;&gt;"",'G2 MT Reading Scoresheet'!U33,"")</f>
        <v/>
      </c>
      <c r="V33" s="270"/>
      <c r="Y33" s="218" t="str">
        <f t="shared" si="0"/>
        <v/>
      </c>
    </row>
    <row r="34" spans="1:25" ht="14.4" x14ac:dyDescent="0.3">
      <c r="A34" s="4">
        <v>24</v>
      </c>
      <c r="B34" s="118" t="str">
        <f>IF('G2 MT Reading Scoresheet'!B34&lt;&gt;"",'G2 MT Reading Scoresheet'!B34,"")</f>
        <v/>
      </c>
      <c r="C34" s="133" t="str">
        <f>IF('G2 MT Reading Scoresheet'!C34&lt;&gt;"",'G2 MT Reading Scoresheet'!C34,"")</f>
        <v/>
      </c>
      <c r="D34" s="134" t="str">
        <f>IF('G2 MT Reading Scoresheet'!D34&lt;&gt;"",'G2 MT Reading Scoresheet'!D34,"")</f>
        <v/>
      </c>
      <c r="E34" s="135" t="str">
        <f>IF('G2 MT Reading Scoresheet'!E34&lt;&gt;"",'G2 MT Reading Scoresheet'!E34,"")</f>
        <v/>
      </c>
      <c r="F34" s="261" t="str">
        <f>IF('G2 MT Reading Scoresheet'!F34&lt;&gt;"",'G2 MT Reading Scoresheet'!F34,"")</f>
        <v/>
      </c>
      <c r="G34" s="262" t="str">
        <f>IF('G2 MT Reading Scoresheet'!G34&lt;&gt;"",'G2 MT Reading Scoresheet'!G34,"")</f>
        <v/>
      </c>
      <c r="H34" s="81" t="str">
        <f>IF('G2 MT Reading Scoresheet'!H34&lt;&gt;"",'G2 MT Reading Scoresheet'!H34,"")</f>
        <v/>
      </c>
      <c r="I34" s="81" t="str">
        <f>IF('G2 MT Reading Scoresheet'!I34&lt;&gt;"",'G2 MT Reading Scoresheet'!I34,"")</f>
        <v/>
      </c>
      <c r="J34" s="82" t="str">
        <f>IF('G2 MT Reading Scoresheet'!J34&lt;&gt;"",'G2 MT Reading Scoresheet'!J34,"")</f>
        <v/>
      </c>
      <c r="K34" s="263" t="str">
        <f>IF('G2 MT Reading Scoresheet'!K34&lt;&gt;"",'G2 MT Reading Scoresheet'!K34,"")</f>
        <v/>
      </c>
      <c r="L34" s="87" t="str">
        <f>IF('G2 MT Reading Scoresheet'!L34&lt;&gt;"",'G2 MT Reading Scoresheet'!L34,"")</f>
        <v/>
      </c>
      <c r="M34" s="118" t="str">
        <f>IF('G2 MT Reading Scoresheet'!M34&lt;&gt;"",'G2 MT Reading Scoresheet'!M34,"")</f>
        <v/>
      </c>
      <c r="N34" s="81" t="str">
        <f>IF('G2 MT Reading Scoresheet'!N34&lt;&gt;"",'G2 MT Reading Scoresheet'!N34,"")</f>
        <v/>
      </c>
      <c r="O34" s="81" t="str">
        <f>IF('G2 MT Reading Scoresheet'!O34&lt;&gt;"",'G2 MT Reading Scoresheet'!O34,"")</f>
        <v/>
      </c>
      <c r="P34" s="118" t="str">
        <f>IF('G2 MT Reading Scoresheet'!P34&lt;&gt;"",'G2 MT Reading Scoresheet'!P34,"")</f>
        <v/>
      </c>
      <c r="Q34" s="122" t="str">
        <f>IF('G2 MT Reading Scoresheet'!Q34&lt;&gt;"",'G2 MT Reading Scoresheet'!Q34,"")</f>
        <v/>
      </c>
      <c r="R34" s="81" t="str">
        <f>IF('G2 MT Reading Scoresheet'!R34&lt;&gt;"",'G2 MT Reading Scoresheet'!R34,"")</f>
        <v/>
      </c>
      <c r="S34" s="81" t="str">
        <f>IF('G2 MT Reading Scoresheet'!S34&lt;&gt;"",'G2 MT Reading Scoresheet'!S34,"")</f>
        <v/>
      </c>
      <c r="T34" s="82" t="str">
        <f>IF('G2 MT Reading Scoresheet'!T34&lt;&gt;"",'G2 MT Reading Scoresheet'!T34,"")</f>
        <v/>
      </c>
      <c r="U34" s="87" t="str">
        <f>IF('G2 MT Reading Scoresheet'!U34&lt;&gt;"",'G2 MT Reading Scoresheet'!U34,"")</f>
        <v/>
      </c>
      <c r="V34" s="264"/>
      <c r="Y34" s="218" t="str">
        <f t="shared" si="0"/>
        <v/>
      </c>
    </row>
    <row r="35" spans="1:25" ht="14.4" x14ac:dyDescent="0.3">
      <c r="A35" s="5">
        <v>25</v>
      </c>
      <c r="B35" s="118" t="str">
        <f>IF('G2 MT Reading Scoresheet'!B35&lt;&gt;"",'G2 MT Reading Scoresheet'!B35,"")</f>
        <v/>
      </c>
      <c r="C35" s="133" t="str">
        <f>IF('G2 MT Reading Scoresheet'!C35&lt;&gt;"",'G2 MT Reading Scoresheet'!C35,"")</f>
        <v/>
      </c>
      <c r="D35" s="134" t="str">
        <f>IF('G2 MT Reading Scoresheet'!D35&lt;&gt;"",'G2 MT Reading Scoresheet'!D35,"")</f>
        <v/>
      </c>
      <c r="E35" s="135" t="str">
        <f>IF('G2 MT Reading Scoresheet'!E35&lt;&gt;"",'G2 MT Reading Scoresheet'!E35,"")</f>
        <v/>
      </c>
      <c r="F35" s="265" t="str">
        <f>IF('G2 MT Reading Scoresheet'!F35&lt;&gt;"",'G2 MT Reading Scoresheet'!F35,"")</f>
        <v/>
      </c>
      <c r="G35" s="255" t="str">
        <f>IF('G2 MT Reading Scoresheet'!G35&lt;&gt;"",'G2 MT Reading Scoresheet'!G35,"")</f>
        <v/>
      </c>
      <c r="H35" s="266" t="str">
        <f>IF('G2 MT Reading Scoresheet'!H35&lt;&gt;"",'G2 MT Reading Scoresheet'!H35,"")</f>
        <v/>
      </c>
      <c r="I35" s="81" t="str">
        <f>IF('G2 MT Reading Scoresheet'!I35&lt;&gt;"",'G2 MT Reading Scoresheet'!I35,"")</f>
        <v/>
      </c>
      <c r="J35" s="82" t="str">
        <f>IF('G2 MT Reading Scoresheet'!J35&lt;&gt;"",'G2 MT Reading Scoresheet'!J35,"")</f>
        <v/>
      </c>
      <c r="K35" s="267" t="str">
        <f>IF('G2 MT Reading Scoresheet'!K35&lt;&gt;"",'G2 MT Reading Scoresheet'!K35,"")</f>
        <v/>
      </c>
      <c r="L35" s="268" t="str">
        <f>IF('G2 MT Reading Scoresheet'!L35&lt;&gt;"",'G2 MT Reading Scoresheet'!L35,"")</f>
        <v/>
      </c>
      <c r="M35" s="118" t="str">
        <f>IF('G2 MT Reading Scoresheet'!M35&lt;&gt;"",'G2 MT Reading Scoresheet'!M35,"")</f>
        <v/>
      </c>
      <c r="N35" s="266" t="str">
        <f>IF('G2 MT Reading Scoresheet'!N35&lt;&gt;"",'G2 MT Reading Scoresheet'!N35,"")</f>
        <v/>
      </c>
      <c r="O35" s="266" t="str">
        <f>IF('G2 MT Reading Scoresheet'!O35&lt;&gt;"",'G2 MT Reading Scoresheet'!O35,"")</f>
        <v/>
      </c>
      <c r="P35" s="118" t="str">
        <f>IF('G2 MT Reading Scoresheet'!P35&lt;&gt;"",'G2 MT Reading Scoresheet'!P35,"")</f>
        <v/>
      </c>
      <c r="Q35" s="122" t="str">
        <f>IF('G2 MT Reading Scoresheet'!Q35&lt;&gt;"",'G2 MT Reading Scoresheet'!Q35,"")</f>
        <v/>
      </c>
      <c r="R35" s="266" t="str">
        <f>IF('G2 MT Reading Scoresheet'!R35&lt;&gt;"",'G2 MT Reading Scoresheet'!R35,"")</f>
        <v/>
      </c>
      <c r="S35" s="266" t="str">
        <f>IF('G2 MT Reading Scoresheet'!S35&lt;&gt;"",'G2 MT Reading Scoresheet'!S35,"")</f>
        <v/>
      </c>
      <c r="T35" s="269" t="str">
        <f>IF('G2 MT Reading Scoresheet'!T35&lt;&gt;"",'G2 MT Reading Scoresheet'!T35,"")</f>
        <v/>
      </c>
      <c r="U35" s="87" t="str">
        <f>IF('G2 MT Reading Scoresheet'!U35&lt;&gt;"",'G2 MT Reading Scoresheet'!U35,"")</f>
        <v/>
      </c>
      <c r="V35" s="270"/>
      <c r="Y35" s="218" t="str">
        <f t="shared" si="0"/>
        <v/>
      </c>
    </row>
    <row r="36" spans="1:25" ht="14.4" x14ac:dyDescent="0.3">
      <c r="A36" s="4">
        <v>26</v>
      </c>
      <c r="B36" s="118" t="str">
        <f>IF('G2 MT Reading Scoresheet'!B36&lt;&gt;"",'G2 MT Reading Scoresheet'!B36,"")</f>
        <v/>
      </c>
      <c r="C36" s="133" t="str">
        <f>IF('G2 MT Reading Scoresheet'!C36&lt;&gt;"",'G2 MT Reading Scoresheet'!C36,"")</f>
        <v/>
      </c>
      <c r="D36" s="134" t="str">
        <f>IF('G2 MT Reading Scoresheet'!D36&lt;&gt;"",'G2 MT Reading Scoresheet'!D36,"")</f>
        <v/>
      </c>
      <c r="E36" s="135" t="str">
        <f>IF('G2 MT Reading Scoresheet'!E36&lt;&gt;"",'G2 MT Reading Scoresheet'!E36,"")</f>
        <v/>
      </c>
      <c r="F36" s="261" t="str">
        <f>IF('G2 MT Reading Scoresheet'!F36&lt;&gt;"",'G2 MT Reading Scoresheet'!F36,"")</f>
        <v/>
      </c>
      <c r="G36" s="262" t="str">
        <f>IF('G2 MT Reading Scoresheet'!G36&lt;&gt;"",'G2 MT Reading Scoresheet'!G36,"")</f>
        <v/>
      </c>
      <c r="H36" s="81" t="str">
        <f>IF('G2 MT Reading Scoresheet'!H36&lt;&gt;"",'G2 MT Reading Scoresheet'!H36,"")</f>
        <v/>
      </c>
      <c r="I36" s="81" t="str">
        <f>IF('G2 MT Reading Scoresheet'!I36&lt;&gt;"",'G2 MT Reading Scoresheet'!I36,"")</f>
        <v/>
      </c>
      <c r="J36" s="82" t="str">
        <f>IF('G2 MT Reading Scoresheet'!J36&lt;&gt;"",'G2 MT Reading Scoresheet'!J36,"")</f>
        <v/>
      </c>
      <c r="K36" s="263" t="str">
        <f>IF('G2 MT Reading Scoresheet'!K36&lt;&gt;"",'G2 MT Reading Scoresheet'!K36,"")</f>
        <v/>
      </c>
      <c r="L36" s="87" t="str">
        <f>IF('G2 MT Reading Scoresheet'!L36&lt;&gt;"",'G2 MT Reading Scoresheet'!L36,"")</f>
        <v/>
      </c>
      <c r="M36" s="118" t="str">
        <f>IF('G2 MT Reading Scoresheet'!M36&lt;&gt;"",'G2 MT Reading Scoresheet'!M36,"")</f>
        <v/>
      </c>
      <c r="N36" s="81" t="str">
        <f>IF('G2 MT Reading Scoresheet'!N36&lt;&gt;"",'G2 MT Reading Scoresheet'!N36,"")</f>
        <v/>
      </c>
      <c r="O36" s="81" t="str">
        <f>IF('G2 MT Reading Scoresheet'!O36&lt;&gt;"",'G2 MT Reading Scoresheet'!O36,"")</f>
        <v/>
      </c>
      <c r="P36" s="118" t="str">
        <f>IF('G2 MT Reading Scoresheet'!P36&lt;&gt;"",'G2 MT Reading Scoresheet'!P36,"")</f>
        <v/>
      </c>
      <c r="Q36" s="122" t="str">
        <f>IF('G2 MT Reading Scoresheet'!Q36&lt;&gt;"",'G2 MT Reading Scoresheet'!Q36,"")</f>
        <v/>
      </c>
      <c r="R36" s="81" t="str">
        <f>IF('G2 MT Reading Scoresheet'!R36&lt;&gt;"",'G2 MT Reading Scoresheet'!R36,"")</f>
        <v/>
      </c>
      <c r="S36" s="81" t="str">
        <f>IF('G2 MT Reading Scoresheet'!S36&lt;&gt;"",'G2 MT Reading Scoresheet'!S36,"")</f>
        <v/>
      </c>
      <c r="T36" s="82" t="str">
        <f>IF('G2 MT Reading Scoresheet'!T36&lt;&gt;"",'G2 MT Reading Scoresheet'!T36,"")</f>
        <v/>
      </c>
      <c r="U36" s="87" t="str">
        <f>IF('G2 MT Reading Scoresheet'!U36&lt;&gt;"",'G2 MT Reading Scoresheet'!U36,"")</f>
        <v/>
      </c>
      <c r="V36" s="264"/>
      <c r="Y36" s="218" t="str">
        <f t="shared" si="0"/>
        <v/>
      </c>
    </row>
    <row r="37" spans="1:25" ht="14.4" x14ac:dyDescent="0.3">
      <c r="A37" s="5">
        <v>27</v>
      </c>
      <c r="B37" s="118" t="str">
        <f>IF('G2 MT Reading Scoresheet'!B37&lt;&gt;"",'G2 MT Reading Scoresheet'!B37,"")</f>
        <v/>
      </c>
      <c r="C37" s="133" t="str">
        <f>IF('G2 MT Reading Scoresheet'!C37&lt;&gt;"",'G2 MT Reading Scoresheet'!C37,"")</f>
        <v/>
      </c>
      <c r="D37" s="134" t="str">
        <f>IF('G2 MT Reading Scoresheet'!D37&lt;&gt;"",'G2 MT Reading Scoresheet'!D37,"")</f>
        <v/>
      </c>
      <c r="E37" s="135" t="str">
        <f>IF('G2 MT Reading Scoresheet'!E37&lt;&gt;"",'G2 MT Reading Scoresheet'!E37,"")</f>
        <v/>
      </c>
      <c r="F37" s="265" t="str">
        <f>IF('G2 MT Reading Scoresheet'!F37&lt;&gt;"",'G2 MT Reading Scoresheet'!F37,"")</f>
        <v/>
      </c>
      <c r="G37" s="255" t="str">
        <f>IF('G2 MT Reading Scoresheet'!G37&lt;&gt;"",'G2 MT Reading Scoresheet'!G37,"")</f>
        <v/>
      </c>
      <c r="H37" s="266" t="str">
        <f>IF('G2 MT Reading Scoresheet'!H37&lt;&gt;"",'G2 MT Reading Scoresheet'!H37,"")</f>
        <v/>
      </c>
      <c r="I37" s="81" t="str">
        <f>IF('G2 MT Reading Scoresheet'!I37&lt;&gt;"",'G2 MT Reading Scoresheet'!I37,"")</f>
        <v/>
      </c>
      <c r="J37" s="82" t="str">
        <f>IF('G2 MT Reading Scoresheet'!J37&lt;&gt;"",'G2 MT Reading Scoresheet'!J37,"")</f>
        <v/>
      </c>
      <c r="K37" s="267" t="str">
        <f>IF('G2 MT Reading Scoresheet'!K37&lt;&gt;"",'G2 MT Reading Scoresheet'!K37,"")</f>
        <v/>
      </c>
      <c r="L37" s="268" t="str">
        <f>IF('G2 MT Reading Scoresheet'!L37&lt;&gt;"",'G2 MT Reading Scoresheet'!L37,"")</f>
        <v/>
      </c>
      <c r="M37" s="118" t="str">
        <f>IF('G2 MT Reading Scoresheet'!M37&lt;&gt;"",'G2 MT Reading Scoresheet'!M37,"")</f>
        <v/>
      </c>
      <c r="N37" s="266" t="str">
        <f>IF('G2 MT Reading Scoresheet'!N37&lt;&gt;"",'G2 MT Reading Scoresheet'!N37,"")</f>
        <v/>
      </c>
      <c r="O37" s="266" t="str">
        <f>IF('G2 MT Reading Scoresheet'!O37&lt;&gt;"",'G2 MT Reading Scoresheet'!O37,"")</f>
        <v/>
      </c>
      <c r="P37" s="118" t="str">
        <f>IF('G2 MT Reading Scoresheet'!P37&lt;&gt;"",'G2 MT Reading Scoresheet'!P37,"")</f>
        <v/>
      </c>
      <c r="Q37" s="122" t="str">
        <f>IF('G2 MT Reading Scoresheet'!Q37&lt;&gt;"",'G2 MT Reading Scoresheet'!Q37,"")</f>
        <v/>
      </c>
      <c r="R37" s="266" t="str">
        <f>IF('G2 MT Reading Scoresheet'!R37&lt;&gt;"",'G2 MT Reading Scoresheet'!R37,"")</f>
        <v/>
      </c>
      <c r="S37" s="266" t="str">
        <f>IF('G2 MT Reading Scoresheet'!S37&lt;&gt;"",'G2 MT Reading Scoresheet'!S37,"")</f>
        <v/>
      </c>
      <c r="T37" s="269" t="str">
        <f>IF('G2 MT Reading Scoresheet'!T37&lt;&gt;"",'G2 MT Reading Scoresheet'!T37,"")</f>
        <v/>
      </c>
      <c r="U37" s="87" t="str">
        <f>IF('G2 MT Reading Scoresheet'!U37&lt;&gt;"",'G2 MT Reading Scoresheet'!U37,"")</f>
        <v/>
      </c>
      <c r="V37" s="270"/>
      <c r="Y37" s="218" t="str">
        <f t="shared" si="0"/>
        <v/>
      </c>
    </row>
    <row r="38" spans="1:25" ht="14.4" x14ac:dyDescent="0.3">
      <c r="A38" s="4">
        <v>28</v>
      </c>
      <c r="B38" s="118" t="str">
        <f>IF('G2 MT Reading Scoresheet'!B38&lt;&gt;"",'G2 MT Reading Scoresheet'!B38,"")</f>
        <v/>
      </c>
      <c r="C38" s="133" t="str">
        <f>IF('G2 MT Reading Scoresheet'!C38&lt;&gt;"",'G2 MT Reading Scoresheet'!C38,"")</f>
        <v/>
      </c>
      <c r="D38" s="134" t="str">
        <f>IF('G2 MT Reading Scoresheet'!D38&lt;&gt;"",'G2 MT Reading Scoresheet'!D38,"")</f>
        <v/>
      </c>
      <c r="E38" s="135" t="str">
        <f>IF('G2 MT Reading Scoresheet'!E38&lt;&gt;"",'G2 MT Reading Scoresheet'!E38,"")</f>
        <v/>
      </c>
      <c r="F38" s="261" t="str">
        <f>IF('G2 MT Reading Scoresheet'!F38&lt;&gt;"",'G2 MT Reading Scoresheet'!F38,"")</f>
        <v/>
      </c>
      <c r="G38" s="262" t="str">
        <f>IF('G2 MT Reading Scoresheet'!G38&lt;&gt;"",'G2 MT Reading Scoresheet'!G38,"")</f>
        <v/>
      </c>
      <c r="H38" s="81" t="str">
        <f>IF('G2 MT Reading Scoresheet'!H38&lt;&gt;"",'G2 MT Reading Scoresheet'!H38,"")</f>
        <v/>
      </c>
      <c r="I38" s="81" t="str">
        <f>IF('G2 MT Reading Scoresheet'!I38&lt;&gt;"",'G2 MT Reading Scoresheet'!I38,"")</f>
        <v/>
      </c>
      <c r="J38" s="82" t="str">
        <f>IF('G2 MT Reading Scoresheet'!J38&lt;&gt;"",'G2 MT Reading Scoresheet'!J38,"")</f>
        <v/>
      </c>
      <c r="K38" s="263" t="str">
        <f>IF('G2 MT Reading Scoresheet'!K38&lt;&gt;"",'G2 MT Reading Scoresheet'!K38,"")</f>
        <v/>
      </c>
      <c r="L38" s="87" t="str">
        <f>IF('G2 MT Reading Scoresheet'!L38&lt;&gt;"",'G2 MT Reading Scoresheet'!L38,"")</f>
        <v/>
      </c>
      <c r="M38" s="118" t="str">
        <f>IF('G2 MT Reading Scoresheet'!M38&lt;&gt;"",'G2 MT Reading Scoresheet'!M38,"")</f>
        <v/>
      </c>
      <c r="N38" s="81" t="str">
        <f>IF('G2 MT Reading Scoresheet'!N38&lt;&gt;"",'G2 MT Reading Scoresheet'!N38,"")</f>
        <v/>
      </c>
      <c r="O38" s="81" t="str">
        <f>IF('G2 MT Reading Scoresheet'!O38&lt;&gt;"",'G2 MT Reading Scoresheet'!O38,"")</f>
        <v/>
      </c>
      <c r="P38" s="118" t="str">
        <f>IF('G2 MT Reading Scoresheet'!P38&lt;&gt;"",'G2 MT Reading Scoresheet'!P38,"")</f>
        <v/>
      </c>
      <c r="Q38" s="122" t="str">
        <f>IF('G2 MT Reading Scoresheet'!Q38&lt;&gt;"",'G2 MT Reading Scoresheet'!Q38,"")</f>
        <v/>
      </c>
      <c r="R38" s="81" t="str">
        <f>IF('G2 MT Reading Scoresheet'!R38&lt;&gt;"",'G2 MT Reading Scoresheet'!R38,"")</f>
        <v/>
      </c>
      <c r="S38" s="81" t="str">
        <f>IF('G2 MT Reading Scoresheet'!S38&lt;&gt;"",'G2 MT Reading Scoresheet'!S38,"")</f>
        <v/>
      </c>
      <c r="T38" s="82" t="str">
        <f>IF('G2 MT Reading Scoresheet'!T38&lt;&gt;"",'G2 MT Reading Scoresheet'!T38,"")</f>
        <v/>
      </c>
      <c r="U38" s="87" t="str">
        <f>IF('G2 MT Reading Scoresheet'!U38&lt;&gt;"",'G2 MT Reading Scoresheet'!U38,"")</f>
        <v/>
      </c>
      <c r="V38" s="264"/>
      <c r="Y38" s="218" t="str">
        <f t="shared" si="0"/>
        <v/>
      </c>
    </row>
    <row r="39" spans="1:25" ht="14.4" x14ac:dyDescent="0.3">
      <c r="A39" s="5">
        <v>29</v>
      </c>
      <c r="B39" s="118" t="str">
        <f>IF('G2 MT Reading Scoresheet'!B39&lt;&gt;"",'G2 MT Reading Scoresheet'!B39,"")</f>
        <v/>
      </c>
      <c r="C39" s="133" t="str">
        <f>IF('G2 MT Reading Scoresheet'!C39&lt;&gt;"",'G2 MT Reading Scoresheet'!C39,"")</f>
        <v/>
      </c>
      <c r="D39" s="134" t="str">
        <f>IF('G2 MT Reading Scoresheet'!D39&lt;&gt;"",'G2 MT Reading Scoresheet'!D39,"")</f>
        <v/>
      </c>
      <c r="E39" s="135" t="str">
        <f>IF('G2 MT Reading Scoresheet'!E39&lt;&gt;"",'G2 MT Reading Scoresheet'!E39,"")</f>
        <v/>
      </c>
      <c r="F39" s="265" t="str">
        <f>IF('G2 MT Reading Scoresheet'!F39&lt;&gt;"",'G2 MT Reading Scoresheet'!F39,"")</f>
        <v/>
      </c>
      <c r="G39" s="255" t="str">
        <f>IF('G2 MT Reading Scoresheet'!G39&lt;&gt;"",'G2 MT Reading Scoresheet'!G39,"")</f>
        <v/>
      </c>
      <c r="H39" s="266" t="str">
        <f>IF('G2 MT Reading Scoresheet'!H39&lt;&gt;"",'G2 MT Reading Scoresheet'!H39,"")</f>
        <v/>
      </c>
      <c r="I39" s="81" t="str">
        <f>IF('G2 MT Reading Scoresheet'!I39&lt;&gt;"",'G2 MT Reading Scoresheet'!I39,"")</f>
        <v/>
      </c>
      <c r="J39" s="82" t="str">
        <f>IF('G2 MT Reading Scoresheet'!J39&lt;&gt;"",'G2 MT Reading Scoresheet'!J39,"")</f>
        <v/>
      </c>
      <c r="K39" s="267" t="str">
        <f>IF('G2 MT Reading Scoresheet'!K39&lt;&gt;"",'G2 MT Reading Scoresheet'!K39,"")</f>
        <v/>
      </c>
      <c r="L39" s="268" t="str">
        <f>IF('G2 MT Reading Scoresheet'!L39&lt;&gt;"",'G2 MT Reading Scoresheet'!L39,"")</f>
        <v/>
      </c>
      <c r="M39" s="118" t="str">
        <f>IF('G2 MT Reading Scoresheet'!M39&lt;&gt;"",'G2 MT Reading Scoresheet'!M39,"")</f>
        <v/>
      </c>
      <c r="N39" s="266" t="str">
        <f>IF('G2 MT Reading Scoresheet'!N39&lt;&gt;"",'G2 MT Reading Scoresheet'!N39,"")</f>
        <v/>
      </c>
      <c r="O39" s="266" t="str">
        <f>IF('G2 MT Reading Scoresheet'!O39&lt;&gt;"",'G2 MT Reading Scoresheet'!O39,"")</f>
        <v/>
      </c>
      <c r="P39" s="118" t="str">
        <f>IF('G2 MT Reading Scoresheet'!P39&lt;&gt;"",'G2 MT Reading Scoresheet'!P39,"")</f>
        <v/>
      </c>
      <c r="Q39" s="122" t="str">
        <f>IF('G2 MT Reading Scoresheet'!Q39&lt;&gt;"",'G2 MT Reading Scoresheet'!Q39,"")</f>
        <v/>
      </c>
      <c r="R39" s="266" t="str">
        <f>IF('G2 MT Reading Scoresheet'!R39&lt;&gt;"",'G2 MT Reading Scoresheet'!R39,"")</f>
        <v/>
      </c>
      <c r="S39" s="266" t="str">
        <f>IF('G2 MT Reading Scoresheet'!S39&lt;&gt;"",'G2 MT Reading Scoresheet'!S39,"")</f>
        <v/>
      </c>
      <c r="T39" s="269" t="str">
        <f>IF('G2 MT Reading Scoresheet'!T39&lt;&gt;"",'G2 MT Reading Scoresheet'!T39,"")</f>
        <v/>
      </c>
      <c r="U39" s="87" t="str">
        <f>IF('G2 MT Reading Scoresheet'!U39&lt;&gt;"",'G2 MT Reading Scoresheet'!U39,"")</f>
        <v/>
      </c>
      <c r="V39" s="270"/>
      <c r="Y39" s="218" t="str">
        <f t="shared" si="0"/>
        <v/>
      </c>
    </row>
    <row r="40" spans="1:25" ht="14.4" x14ac:dyDescent="0.3">
      <c r="A40" s="4">
        <v>30</v>
      </c>
      <c r="B40" s="118" t="str">
        <f>IF('G2 MT Reading Scoresheet'!B40&lt;&gt;"",'G2 MT Reading Scoresheet'!B40,"")</f>
        <v/>
      </c>
      <c r="C40" s="133" t="str">
        <f>IF('G2 MT Reading Scoresheet'!C40&lt;&gt;"",'G2 MT Reading Scoresheet'!C40,"")</f>
        <v/>
      </c>
      <c r="D40" s="134" t="str">
        <f>IF('G2 MT Reading Scoresheet'!D40&lt;&gt;"",'G2 MT Reading Scoresheet'!D40,"")</f>
        <v/>
      </c>
      <c r="E40" s="135" t="str">
        <f>IF('G2 MT Reading Scoresheet'!E40&lt;&gt;"",'G2 MT Reading Scoresheet'!E40,"")</f>
        <v/>
      </c>
      <c r="F40" s="261" t="str">
        <f>IF('G2 MT Reading Scoresheet'!F40&lt;&gt;"",'G2 MT Reading Scoresheet'!F40,"")</f>
        <v/>
      </c>
      <c r="G40" s="262" t="str">
        <f>IF('G2 MT Reading Scoresheet'!G40&lt;&gt;"",'G2 MT Reading Scoresheet'!G40,"")</f>
        <v/>
      </c>
      <c r="H40" s="81" t="str">
        <f>IF('G2 MT Reading Scoresheet'!H40&lt;&gt;"",'G2 MT Reading Scoresheet'!H40,"")</f>
        <v/>
      </c>
      <c r="I40" s="81" t="str">
        <f>IF('G2 MT Reading Scoresheet'!I40&lt;&gt;"",'G2 MT Reading Scoresheet'!I40,"")</f>
        <v/>
      </c>
      <c r="J40" s="82" t="str">
        <f>IF('G2 MT Reading Scoresheet'!J40&lt;&gt;"",'G2 MT Reading Scoresheet'!J40,"")</f>
        <v/>
      </c>
      <c r="K40" s="263" t="str">
        <f>IF('G2 MT Reading Scoresheet'!K40&lt;&gt;"",'G2 MT Reading Scoresheet'!K40,"")</f>
        <v/>
      </c>
      <c r="L40" s="87" t="str">
        <f>IF('G2 MT Reading Scoresheet'!L40&lt;&gt;"",'G2 MT Reading Scoresheet'!L40,"")</f>
        <v/>
      </c>
      <c r="M40" s="118" t="str">
        <f>IF('G2 MT Reading Scoresheet'!M40&lt;&gt;"",'G2 MT Reading Scoresheet'!M40,"")</f>
        <v/>
      </c>
      <c r="N40" s="81" t="str">
        <f>IF('G2 MT Reading Scoresheet'!N40&lt;&gt;"",'G2 MT Reading Scoresheet'!N40,"")</f>
        <v/>
      </c>
      <c r="O40" s="81" t="str">
        <f>IF('G2 MT Reading Scoresheet'!O40&lt;&gt;"",'G2 MT Reading Scoresheet'!O40,"")</f>
        <v/>
      </c>
      <c r="P40" s="118" t="str">
        <f>IF('G2 MT Reading Scoresheet'!P40&lt;&gt;"",'G2 MT Reading Scoresheet'!P40,"")</f>
        <v/>
      </c>
      <c r="Q40" s="122" t="str">
        <f>IF('G2 MT Reading Scoresheet'!Q40&lt;&gt;"",'G2 MT Reading Scoresheet'!Q40,"")</f>
        <v/>
      </c>
      <c r="R40" s="81" t="str">
        <f>IF('G2 MT Reading Scoresheet'!R40&lt;&gt;"",'G2 MT Reading Scoresheet'!R40,"")</f>
        <v/>
      </c>
      <c r="S40" s="81" t="str">
        <f>IF('G2 MT Reading Scoresheet'!S40&lt;&gt;"",'G2 MT Reading Scoresheet'!S40,"")</f>
        <v/>
      </c>
      <c r="T40" s="82" t="str">
        <f>IF('G2 MT Reading Scoresheet'!T40&lt;&gt;"",'G2 MT Reading Scoresheet'!T40,"")</f>
        <v/>
      </c>
      <c r="U40" s="87" t="str">
        <f>IF('G2 MT Reading Scoresheet'!U40&lt;&gt;"",'G2 MT Reading Scoresheet'!U40,"")</f>
        <v/>
      </c>
      <c r="V40" s="264"/>
      <c r="Y40" s="218" t="str">
        <f t="shared" si="0"/>
        <v/>
      </c>
    </row>
    <row r="41" spans="1:25" ht="14.4" x14ac:dyDescent="0.3">
      <c r="A41" s="5">
        <v>31</v>
      </c>
      <c r="B41" s="118" t="str">
        <f>IF('G2 MT Reading Scoresheet'!B41&lt;&gt;"",'G2 MT Reading Scoresheet'!B41,"")</f>
        <v/>
      </c>
      <c r="C41" s="133" t="str">
        <f>IF('G2 MT Reading Scoresheet'!C41&lt;&gt;"",'G2 MT Reading Scoresheet'!C41,"")</f>
        <v/>
      </c>
      <c r="D41" s="134" t="str">
        <f>IF('G2 MT Reading Scoresheet'!D41&lt;&gt;"",'G2 MT Reading Scoresheet'!D41,"")</f>
        <v/>
      </c>
      <c r="E41" s="135" t="str">
        <f>IF('G2 MT Reading Scoresheet'!E41&lt;&gt;"",'G2 MT Reading Scoresheet'!E41,"")</f>
        <v/>
      </c>
      <c r="F41" s="265" t="str">
        <f>IF('G2 MT Reading Scoresheet'!F41&lt;&gt;"",'G2 MT Reading Scoresheet'!F41,"")</f>
        <v/>
      </c>
      <c r="G41" s="255" t="str">
        <f>IF('G2 MT Reading Scoresheet'!G41&lt;&gt;"",'G2 MT Reading Scoresheet'!G41,"")</f>
        <v/>
      </c>
      <c r="H41" s="266" t="str">
        <f>IF('G2 MT Reading Scoresheet'!H41&lt;&gt;"",'G2 MT Reading Scoresheet'!H41,"")</f>
        <v/>
      </c>
      <c r="I41" s="81" t="str">
        <f>IF('G2 MT Reading Scoresheet'!I41&lt;&gt;"",'G2 MT Reading Scoresheet'!I41,"")</f>
        <v/>
      </c>
      <c r="J41" s="82" t="str">
        <f>IF('G2 MT Reading Scoresheet'!J41&lt;&gt;"",'G2 MT Reading Scoresheet'!J41,"")</f>
        <v/>
      </c>
      <c r="K41" s="267" t="str">
        <f>IF('G2 MT Reading Scoresheet'!K41&lt;&gt;"",'G2 MT Reading Scoresheet'!K41,"")</f>
        <v/>
      </c>
      <c r="L41" s="268" t="str">
        <f>IF('G2 MT Reading Scoresheet'!L41&lt;&gt;"",'G2 MT Reading Scoresheet'!L41,"")</f>
        <v/>
      </c>
      <c r="M41" s="118" t="str">
        <f>IF('G2 MT Reading Scoresheet'!M41&lt;&gt;"",'G2 MT Reading Scoresheet'!M41,"")</f>
        <v/>
      </c>
      <c r="N41" s="266" t="str">
        <f>IF('G2 MT Reading Scoresheet'!N41&lt;&gt;"",'G2 MT Reading Scoresheet'!N41,"")</f>
        <v/>
      </c>
      <c r="O41" s="266" t="str">
        <f>IF('G2 MT Reading Scoresheet'!O41&lt;&gt;"",'G2 MT Reading Scoresheet'!O41,"")</f>
        <v/>
      </c>
      <c r="P41" s="118" t="str">
        <f>IF('G2 MT Reading Scoresheet'!P41&lt;&gt;"",'G2 MT Reading Scoresheet'!P41,"")</f>
        <v/>
      </c>
      <c r="Q41" s="122" t="str">
        <f>IF('G2 MT Reading Scoresheet'!Q41&lt;&gt;"",'G2 MT Reading Scoresheet'!Q41,"")</f>
        <v/>
      </c>
      <c r="R41" s="266" t="str">
        <f>IF('G2 MT Reading Scoresheet'!R41&lt;&gt;"",'G2 MT Reading Scoresheet'!R41,"")</f>
        <v/>
      </c>
      <c r="S41" s="266" t="str">
        <f>IF('G2 MT Reading Scoresheet'!S41&lt;&gt;"",'G2 MT Reading Scoresheet'!S41,"")</f>
        <v/>
      </c>
      <c r="T41" s="269" t="str">
        <f>IF('G2 MT Reading Scoresheet'!T41&lt;&gt;"",'G2 MT Reading Scoresheet'!T41,"")</f>
        <v/>
      </c>
      <c r="U41" s="87" t="str">
        <f>IF('G2 MT Reading Scoresheet'!U41&lt;&gt;"",'G2 MT Reading Scoresheet'!U41,"")</f>
        <v/>
      </c>
      <c r="V41" s="270"/>
      <c r="Y41" s="218" t="str">
        <f t="shared" si="0"/>
        <v/>
      </c>
    </row>
    <row r="42" spans="1:25" ht="14.4" x14ac:dyDescent="0.3">
      <c r="A42" s="4">
        <v>32</v>
      </c>
      <c r="B42" s="118" t="str">
        <f>IF('G2 MT Reading Scoresheet'!B42&lt;&gt;"",'G2 MT Reading Scoresheet'!B42,"")</f>
        <v/>
      </c>
      <c r="C42" s="133" t="str">
        <f>IF('G2 MT Reading Scoresheet'!C42&lt;&gt;"",'G2 MT Reading Scoresheet'!C42,"")</f>
        <v/>
      </c>
      <c r="D42" s="134" t="str">
        <f>IF('G2 MT Reading Scoresheet'!D42&lt;&gt;"",'G2 MT Reading Scoresheet'!D42,"")</f>
        <v/>
      </c>
      <c r="E42" s="135" t="str">
        <f>IF('G2 MT Reading Scoresheet'!E42&lt;&gt;"",'G2 MT Reading Scoresheet'!E42,"")</f>
        <v/>
      </c>
      <c r="F42" s="261" t="str">
        <f>IF('G2 MT Reading Scoresheet'!F42&lt;&gt;"",'G2 MT Reading Scoresheet'!F42,"")</f>
        <v/>
      </c>
      <c r="G42" s="262" t="str">
        <f>IF('G2 MT Reading Scoresheet'!G42&lt;&gt;"",'G2 MT Reading Scoresheet'!G42,"")</f>
        <v/>
      </c>
      <c r="H42" s="81" t="str">
        <f>IF('G2 MT Reading Scoresheet'!H42&lt;&gt;"",'G2 MT Reading Scoresheet'!H42,"")</f>
        <v/>
      </c>
      <c r="I42" s="81" t="str">
        <f>IF('G2 MT Reading Scoresheet'!I42&lt;&gt;"",'G2 MT Reading Scoresheet'!I42,"")</f>
        <v/>
      </c>
      <c r="J42" s="82" t="str">
        <f>IF('G2 MT Reading Scoresheet'!J42&lt;&gt;"",'G2 MT Reading Scoresheet'!J42,"")</f>
        <v/>
      </c>
      <c r="K42" s="263" t="str">
        <f>IF('G2 MT Reading Scoresheet'!K42&lt;&gt;"",'G2 MT Reading Scoresheet'!K42,"")</f>
        <v/>
      </c>
      <c r="L42" s="87" t="str">
        <f>IF('G2 MT Reading Scoresheet'!L42&lt;&gt;"",'G2 MT Reading Scoresheet'!L42,"")</f>
        <v/>
      </c>
      <c r="M42" s="118" t="str">
        <f>IF('G2 MT Reading Scoresheet'!M42&lt;&gt;"",'G2 MT Reading Scoresheet'!M42,"")</f>
        <v/>
      </c>
      <c r="N42" s="81" t="str">
        <f>IF('G2 MT Reading Scoresheet'!N42&lt;&gt;"",'G2 MT Reading Scoresheet'!N42,"")</f>
        <v/>
      </c>
      <c r="O42" s="81" t="str">
        <f>IF('G2 MT Reading Scoresheet'!O42&lt;&gt;"",'G2 MT Reading Scoresheet'!O42,"")</f>
        <v/>
      </c>
      <c r="P42" s="118" t="str">
        <f>IF('G2 MT Reading Scoresheet'!P42&lt;&gt;"",'G2 MT Reading Scoresheet'!P42,"")</f>
        <v/>
      </c>
      <c r="Q42" s="122" t="str">
        <f>IF('G2 MT Reading Scoresheet'!Q42&lt;&gt;"",'G2 MT Reading Scoresheet'!Q42,"")</f>
        <v/>
      </c>
      <c r="R42" s="81" t="str">
        <f>IF('G2 MT Reading Scoresheet'!R42&lt;&gt;"",'G2 MT Reading Scoresheet'!R42,"")</f>
        <v/>
      </c>
      <c r="S42" s="81" t="str">
        <f>IF('G2 MT Reading Scoresheet'!S42&lt;&gt;"",'G2 MT Reading Scoresheet'!S42,"")</f>
        <v/>
      </c>
      <c r="T42" s="82" t="str">
        <f>IF('G2 MT Reading Scoresheet'!T42&lt;&gt;"",'G2 MT Reading Scoresheet'!T42,"")</f>
        <v/>
      </c>
      <c r="U42" s="87" t="str">
        <f>IF('G2 MT Reading Scoresheet'!U42&lt;&gt;"",'G2 MT Reading Scoresheet'!U42,"")</f>
        <v/>
      </c>
      <c r="V42" s="264"/>
      <c r="Y42" s="218" t="str">
        <f t="shared" si="0"/>
        <v/>
      </c>
    </row>
    <row r="43" spans="1:25" ht="14.4" x14ac:dyDescent="0.3">
      <c r="A43" s="5">
        <v>33</v>
      </c>
      <c r="B43" s="118" t="str">
        <f>IF('G2 MT Reading Scoresheet'!B43&lt;&gt;"",'G2 MT Reading Scoresheet'!B43,"")</f>
        <v/>
      </c>
      <c r="C43" s="133" t="str">
        <f>IF('G2 MT Reading Scoresheet'!C43&lt;&gt;"",'G2 MT Reading Scoresheet'!C43,"")</f>
        <v/>
      </c>
      <c r="D43" s="134" t="str">
        <f>IF('G2 MT Reading Scoresheet'!D43&lt;&gt;"",'G2 MT Reading Scoresheet'!D43,"")</f>
        <v/>
      </c>
      <c r="E43" s="135" t="str">
        <f>IF('G2 MT Reading Scoresheet'!E43&lt;&gt;"",'G2 MT Reading Scoresheet'!E43,"")</f>
        <v/>
      </c>
      <c r="F43" s="265" t="str">
        <f>IF('G2 MT Reading Scoresheet'!F43&lt;&gt;"",'G2 MT Reading Scoresheet'!F43,"")</f>
        <v/>
      </c>
      <c r="G43" s="255" t="str">
        <f>IF('G2 MT Reading Scoresheet'!G43&lt;&gt;"",'G2 MT Reading Scoresheet'!G43,"")</f>
        <v/>
      </c>
      <c r="H43" s="266" t="str">
        <f>IF('G2 MT Reading Scoresheet'!H43&lt;&gt;"",'G2 MT Reading Scoresheet'!H43,"")</f>
        <v/>
      </c>
      <c r="I43" s="81" t="str">
        <f>IF('G2 MT Reading Scoresheet'!I43&lt;&gt;"",'G2 MT Reading Scoresheet'!I43,"")</f>
        <v/>
      </c>
      <c r="J43" s="82" t="str">
        <f>IF('G2 MT Reading Scoresheet'!J43&lt;&gt;"",'G2 MT Reading Scoresheet'!J43,"")</f>
        <v/>
      </c>
      <c r="K43" s="267" t="str">
        <f>IF('G2 MT Reading Scoresheet'!K43&lt;&gt;"",'G2 MT Reading Scoresheet'!K43,"")</f>
        <v/>
      </c>
      <c r="L43" s="268" t="str">
        <f>IF('G2 MT Reading Scoresheet'!L43&lt;&gt;"",'G2 MT Reading Scoresheet'!L43,"")</f>
        <v/>
      </c>
      <c r="M43" s="118" t="str">
        <f>IF('G2 MT Reading Scoresheet'!M43&lt;&gt;"",'G2 MT Reading Scoresheet'!M43,"")</f>
        <v/>
      </c>
      <c r="N43" s="266" t="str">
        <f>IF('G2 MT Reading Scoresheet'!N43&lt;&gt;"",'G2 MT Reading Scoresheet'!N43,"")</f>
        <v/>
      </c>
      <c r="O43" s="266" t="str">
        <f>IF('G2 MT Reading Scoresheet'!O43&lt;&gt;"",'G2 MT Reading Scoresheet'!O43,"")</f>
        <v/>
      </c>
      <c r="P43" s="118" t="str">
        <f>IF('G2 MT Reading Scoresheet'!P43&lt;&gt;"",'G2 MT Reading Scoresheet'!P43,"")</f>
        <v/>
      </c>
      <c r="Q43" s="122" t="str">
        <f>IF('G2 MT Reading Scoresheet'!Q43&lt;&gt;"",'G2 MT Reading Scoresheet'!Q43,"")</f>
        <v/>
      </c>
      <c r="R43" s="266" t="str">
        <f>IF('G2 MT Reading Scoresheet'!R43&lt;&gt;"",'G2 MT Reading Scoresheet'!R43,"")</f>
        <v/>
      </c>
      <c r="S43" s="266" t="str">
        <f>IF('G2 MT Reading Scoresheet'!S43&lt;&gt;"",'G2 MT Reading Scoresheet'!S43,"")</f>
        <v/>
      </c>
      <c r="T43" s="269" t="str">
        <f>IF('G2 MT Reading Scoresheet'!T43&lt;&gt;"",'G2 MT Reading Scoresheet'!T43,"")</f>
        <v/>
      </c>
      <c r="U43" s="87" t="str">
        <f>IF('G2 MT Reading Scoresheet'!U43&lt;&gt;"",'G2 MT Reading Scoresheet'!U43,"")</f>
        <v/>
      </c>
      <c r="V43" s="270"/>
      <c r="Y43" s="218" t="str">
        <f t="shared" si="0"/>
        <v/>
      </c>
    </row>
    <row r="44" spans="1:25" ht="14.4" x14ac:dyDescent="0.3">
      <c r="A44" s="4">
        <v>34</v>
      </c>
      <c r="B44" s="118" t="str">
        <f>IF('G2 MT Reading Scoresheet'!B44&lt;&gt;"",'G2 MT Reading Scoresheet'!B44,"")</f>
        <v/>
      </c>
      <c r="C44" s="133" t="str">
        <f>IF('G2 MT Reading Scoresheet'!C44&lt;&gt;"",'G2 MT Reading Scoresheet'!C44,"")</f>
        <v/>
      </c>
      <c r="D44" s="134" t="str">
        <f>IF('G2 MT Reading Scoresheet'!D44&lt;&gt;"",'G2 MT Reading Scoresheet'!D44,"")</f>
        <v/>
      </c>
      <c r="E44" s="135" t="str">
        <f>IF('G2 MT Reading Scoresheet'!E44&lt;&gt;"",'G2 MT Reading Scoresheet'!E44,"")</f>
        <v/>
      </c>
      <c r="F44" s="261" t="str">
        <f>IF('G2 MT Reading Scoresheet'!F44&lt;&gt;"",'G2 MT Reading Scoresheet'!F44,"")</f>
        <v/>
      </c>
      <c r="G44" s="262" t="str">
        <f>IF('G2 MT Reading Scoresheet'!G44&lt;&gt;"",'G2 MT Reading Scoresheet'!G44,"")</f>
        <v/>
      </c>
      <c r="H44" s="81" t="str">
        <f>IF('G2 MT Reading Scoresheet'!H44&lt;&gt;"",'G2 MT Reading Scoresheet'!H44,"")</f>
        <v/>
      </c>
      <c r="I44" s="81" t="str">
        <f>IF('G2 MT Reading Scoresheet'!I44&lt;&gt;"",'G2 MT Reading Scoresheet'!I44,"")</f>
        <v/>
      </c>
      <c r="J44" s="82" t="str">
        <f>IF('G2 MT Reading Scoresheet'!J44&lt;&gt;"",'G2 MT Reading Scoresheet'!J44,"")</f>
        <v/>
      </c>
      <c r="K44" s="263" t="str">
        <f>IF('G2 MT Reading Scoresheet'!K44&lt;&gt;"",'G2 MT Reading Scoresheet'!K44,"")</f>
        <v/>
      </c>
      <c r="L44" s="87" t="str">
        <f>IF('G2 MT Reading Scoresheet'!L44&lt;&gt;"",'G2 MT Reading Scoresheet'!L44,"")</f>
        <v/>
      </c>
      <c r="M44" s="118" t="str">
        <f>IF('G2 MT Reading Scoresheet'!M44&lt;&gt;"",'G2 MT Reading Scoresheet'!M44,"")</f>
        <v/>
      </c>
      <c r="N44" s="81" t="str">
        <f>IF('G2 MT Reading Scoresheet'!N44&lt;&gt;"",'G2 MT Reading Scoresheet'!N44,"")</f>
        <v/>
      </c>
      <c r="O44" s="81" t="str">
        <f>IF('G2 MT Reading Scoresheet'!O44&lt;&gt;"",'G2 MT Reading Scoresheet'!O44,"")</f>
        <v/>
      </c>
      <c r="P44" s="118" t="str">
        <f>IF('G2 MT Reading Scoresheet'!P44&lt;&gt;"",'G2 MT Reading Scoresheet'!P44,"")</f>
        <v/>
      </c>
      <c r="Q44" s="122" t="str">
        <f>IF('G2 MT Reading Scoresheet'!Q44&lt;&gt;"",'G2 MT Reading Scoresheet'!Q44,"")</f>
        <v/>
      </c>
      <c r="R44" s="81" t="str">
        <f>IF('G2 MT Reading Scoresheet'!R44&lt;&gt;"",'G2 MT Reading Scoresheet'!R44,"")</f>
        <v/>
      </c>
      <c r="S44" s="81" t="str">
        <f>IF('G2 MT Reading Scoresheet'!S44&lt;&gt;"",'G2 MT Reading Scoresheet'!S44,"")</f>
        <v/>
      </c>
      <c r="T44" s="82" t="str">
        <f>IF('G2 MT Reading Scoresheet'!T44&lt;&gt;"",'G2 MT Reading Scoresheet'!T44,"")</f>
        <v/>
      </c>
      <c r="U44" s="87" t="str">
        <f>IF('G2 MT Reading Scoresheet'!U44&lt;&gt;"",'G2 MT Reading Scoresheet'!U44,"")</f>
        <v/>
      </c>
      <c r="V44" s="264"/>
      <c r="Y44" s="218" t="str">
        <f t="shared" si="0"/>
        <v/>
      </c>
    </row>
    <row r="45" spans="1:25" ht="14.4" x14ac:dyDescent="0.3">
      <c r="A45" s="5">
        <v>35</v>
      </c>
      <c r="B45" s="118" t="str">
        <f>IF('G2 MT Reading Scoresheet'!B45&lt;&gt;"",'G2 MT Reading Scoresheet'!B45,"")</f>
        <v/>
      </c>
      <c r="C45" s="133" t="str">
        <f>IF('G2 MT Reading Scoresheet'!C45&lt;&gt;"",'G2 MT Reading Scoresheet'!C45,"")</f>
        <v/>
      </c>
      <c r="D45" s="134" t="str">
        <f>IF('G2 MT Reading Scoresheet'!D45&lt;&gt;"",'G2 MT Reading Scoresheet'!D45,"")</f>
        <v/>
      </c>
      <c r="E45" s="135" t="str">
        <f>IF('G2 MT Reading Scoresheet'!E45&lt;&gt;"",'G2 MT Reading Scoresheet'!E45,"")</f>
        <v/>
      </c>
      <c r="F45" s="265" t="str">
        <f>IF('G2 MT Reading Scoresheet'!F45&lt;&gt;"",'G2 MT Reading Scoresheet'!F45,"")</f>
        <v/>
      </c>
      <c r="G45" s="255" t="str">
        <f>IF('G2 MT Reading Scoresheet'!G45&lt;&gt;"",'G2 MT Reading Scoresheet'!G45,"")</f>
        <v/>
      </c>
      <c r="H45" s="266" t="str">
        <f>IF('G2 MT Reading Scoresheet'!H45&lt;&gt;"",'G2 MT Reading Scoresheet'!H45,"")</f>
        <v/>
      </c>
      <c r="I45" s="81" t="str">
        <f>IF('G2 MT Reading Scoresheet'!I45&lt;&gt;"",'G2 MT Reading Scoresheet'!I45,"")</f>
        <v/>
      </c>
      <c r="J45" s="82" t="str">
        <f>IF('G2 MT Reading Scoresheet'!J45&lt;&gt;"",'G2 MT Reading Scoresheet'!J45,"")</f>
        <v/>
      </c>
      <c r="K45" s="267" t="str">
        <f>IF('G2 MT Reading Scoresheet'!K45&lt;&gt;"",'G2 MT Reading Scoresheet'!K45,"")</f>
        <v/>
      </c>
      <c r="L45" s="268" t="str">
        <f>IF('G2 MT Reading Scoresheet'!L45&lt;&gt;"",'G2 MT Reading Scoresheet'!L45,"")</f>
        <v/>
      </c>
      <c r="M45" s="118" t="str">
        <f>IF('G2 MT Reading Scoresheet'!M45&lt;&gt;"",'G2 MT Reading Scoresheet'!M45,"")</f>
        <v/>
      </c>
      <c r="N45" s="266" t="str">
        <f>IF('G2 MT Reading Scoresheet'!N45&lt;&gt;"",'G2 MT Reading Scoresheet'!N45,"")</f>
        <v/>
      </c>
      <c r="O45" s="266" t="str">
        <f>IF('G2 MT Reading Scoresheet'!O45&lt;&gt;"",'G2 MT Reading Scoresheet'!O45,"")</f>
        <v/>
      </c>
      <c r="P45" s="118" t="str">
        <f>IF('G2 MT Reading Scoresheet'!P45&lt;&gt;"",'G2 MT Reading Scoresheet'!P45,"")</f>
        <v/>
      </c>
      <c r="Q45" s="122" t="str">
        <f>IF('G2 MT Reading Scoresheet'!Q45&lt;&gt;"",'G2 MT Reading Scoresheet'!Q45,"")</f>
        <v/>
      </c>
      <c r="R45" s="266" t="str">
        <f>IF('G2 MT Reading Scoresheet'!R45&lt;&gt;"",'G2 MT Reading Scoresheet'!R45,"")</f>
        <v/>
      </c>
      <c r="S45" s="266" t="str">
        <f>IF('G2 MT Reading Scoresheet'!S45&lt;&gt;"",'G2 MT Reading Scoresheet'!S45,"")</f>
        <v/>
      </c>
      <c r="T45" s="269" t="str">
        <f>IF('G2 MT Reading Scoresheet'!T45&lt;&gt;"",'G2 MT Reading Scoresheet'!T45,"")</f>
        <v/>
      </c>
      <c r="U45" s="87" t="str">
        <f>IF('G2 MT Reading Scoresheet'!U45&lt;&gt;"",'G2 MT Reading Scoresheet'!U45,"")</f>
        <v/>
      </c>
      <c r="V45" s="270"/>
      <c r="Y45" s="218" t="str">
        <f t="shared" si="0"/>
        <v/>
      </c>
    </row>
    <row r="46" spans="1:25" ht="14.4" x14ac:dyDescent="0.3">
      <c r="A46" s="4">
        <v>36</v>
      </c>
      <c r="B46" s="118" t="str">
        <f>IF('G2 MT Reading Scoresheet'!B46&lt;&gt;"",'G2 MT Reading Scoresheet'!B46,"")</f>
        <v/>
      </c>
      <c r="C46" s="133" t="str">
        <f>IF('G2 MT Reading Scoresheet'!C46&lt;&gt;"",'G2 MT Reading Scoresheet'!C46,"")</f>
        <v/>
      </c>
      <c r="D46" s="134" t="str">
        <f>IF('G2 MT Reading Scoresheet'!D46&lt;&gt;"",'G2 MT Reading Scoresheet'!D46,"")</f>
        <v/>
      </c>
      <c r="E46" s="135" t="str">
        <f>IF('G2 MT Reading Scoresheet'!E46&lt;&gt;"",'G2 MT Reading Scoresheet'!E46,"")</f>
        <v/>
      </c>
      <c r="F46" s="261" t="str">
        <f>IF('G2 MT Reading Scoresheet'!F46&lt;&gt;"",'G2 MT Reading Scoresheet'!F46,"")</f>
        <v/>
      </c>
      <c r="G46" s="262" t="str">
        <f>IF('G2 MT Reading Scoresheet'!G46&lt;&gt;"",'G2 MT Reading Scoresheet'!G46,"")</f>
        <v/>
      </c>
      <c r="H46" s="81" t="str">
        <f>IF('G2 MT Reading Scoresheet'!H46&lt;&gt;"",'G2 MT Reading Scoresheet'!H46,"")</f>
        <v/>
      </c>
      <c r="I46" s="81" t="str">
        <f>IF('G2 MT Reading Scoresheet'!I46&lt;&gt;"",'G2 MT Reading Scoresheet'!I46,"")</f>
        <v/>
      </c>
      <c r="J46" s="82" t="str">
        <f>IF('G2 MT Reading Scoresheet'!J46&lt;&gt;"",'G2 MT Reading Scoresheet'!J46,"")</f>
        <v/>
      </c>
      <c r="K46" s="263" t="str">
        <f>IF('G2 MT Reading Scoresheet'!K46&lt;&gt;"",'G2 MT Reading Scoresheet'!K46,"")</f>
        <v/>
      </c>
      <c r="L46" s="87" t="str">
        <f>IF('G2 MT Reading Scoresheet'!L46&lt;&gt;"",'G2 MT Reading Scoresheet'!L46,"")</f>
        <v/>
      </c>
      <c r="M46" s="118" t="str">
        <f>IF('G2 MT Reading Scoresheet'!M46&lt;&gt;"",'G2 MT Reading Scoresheet'!M46,"")</f>
        <v/>
      </c>
      <c r="N46" s="81" t="str">
        <f>IF('G2 MT Reading Scoresheet'!N46&lt;&gt;"",'G2 MT Reading Scoresheet'!N46,"")</f>
        <v/>
      </c>
      <c r="O46" s="81" t="str">
        <f>IF('G2 MT Reading Scoresheet'!O46&lt;&gt;"",'G2 MT Reading Scoresheet'!O46,"")</f>
        <v/>
      </c>
      <c r="P46" s="118" t="str">
        <f>IF('G2 MT Reading Scoresheet'!P46&lt;&gt;"",'G2 MT Reading Scoresheet'!P46,"")</f>
        <v/>
      </c>
      <c r="Q46" s="122" t="str">
        <f>IF('G2 MT Reading Scoresheet'!Q46&lt;&gt;"",'G2 MT Reading Scoresheet'!Q46,"")</f>
        <v/>
      </c>
      <c r="R46" s="81" t="str">
        <f>IF('G2 MT Reading Scoresheet'!R46&lt;&gt;"",'G2 MT Reading Scoresheet'!R46,"")</f>
        <v/>
      </c>
      <c r="S46" s="81" t="str">
        <f>IF('G2 MT Reading Scoresheet'!S46&lt;&gt;"",'G2 MT Reading Scoresheet'!S46,"")</f>
        <v/>
      </c>
      <c r="T46" s="82" t="str">
        <f>IF('G2 MT Reading Scoresheet'!T46&lt;&gt;"",'G2 MT Reading Scoresheet'!T46,"")</f>
        <v/>
      </c>
      <c r="U46" s="87" t="str">
        <f>IF('G2 MT Reading Scoresheet'!U46&lt;&gt;"",'G2 MT Reading Scoresheet'!U46,"")</f>
        <v/>
      </c>
      <c r="V46" s="264"/>
      <c r="Y46" s="218" t="str">
        <f t="shared" si="0"/>
        <v/>
      </c>
    </row>
    <row r="47" spans="1:25" ht="14.4" x14ac:dyDescent="0.3">
      <c r="A47" s="5">
        <v>37</v>
      </c>
      <c r="B47" s="118" t="str">
        <f>IF('G2 MT Reading Scoresheet'!B47&lt;&gt;"",'G2 MT Reading Scoresheet'!B47,"")</f>
        <v/>
      </c>
      <c r="C47" s="133" t="str">
        <f>IF('G2 MT Reading Scoresheet'!C47&lt;&gt;"",'G2 MT Reading Scoresheet'!C47,"")</f>
        <v/>
      </c>
      <c r="D47" s="134" t="str">
        <f>IF('G2 MT Reading Scoresheet'!D47&lt;&gt;"",'G2 MT Reading Scoresheet'!D47,"")</f>
        <v/>
      </c>
      <c r="E47" s="135" t="str">
        <f>IF('G2 MT Reading Scoresheet'!E47&lt;&gt;"",'G2 MT Reading Scoresheet'!E47,"")</f>
        <v/>
      </c>
      <c r="F47" s="265" t="str">
        <f>IF('G2 MT Reading Scoresheet'!F47&lt;&gt;"",'G2 MT Reading Scoresheet'!F47,"")</f>
        <v/>
      </c>
      <c r="G47" s="255" t="str">
        <f>IF('G2 MT Reading Scoresheet'!G47&lt;&gt;"",'G2 MT Reading Scoresheet'!G47,"")</f>
        <v/>
      </c>
      <c r="H47" s="266" t="str">
        <f>IF('G2 MT Reading Scoresheet'!H47&lt;&gt;"",'G2 MT Reading Scoresheet'!H47,"")</f>
        <v/>
      </c>
      <c r="I47" s="81" t="str">
        <f>IF('G2 MT Reading Scoresheet'!I47&lt;&gt;"",'G2 MT Reading Scoresheet'!I47,"")</f>
        <v/>
      </c>
      <c r="J47" s="82" t="str">
        <f>IF('G2 MT Reading Scoresheet'!J47&lt;&gt;"",'G2 MT Reading Scoresheet'!J47,"")</f>
        <v/>
      </c>
      <c r="K47" s="267" t="str">
        <f>IF('G2 MT Reading Scoresheet'!K47&lt;&gt;"",'G2 MT Reading Scoresheet'!K47,"")</f>
        <v/>
      </c>
      <c r="L47" s="268" t="str">
        <f>IF('G2 MT Reading Scoresheet'!L47&lt;&gt;"",'G2 MT Reading Scoresheet'!L47,"")</f>
        <v/>
      </c>
      <c r="M47" s="118" t="str">
        <f>IF('G2 MT Reading Scoresheet'!M47&lt;&gt;"",'G2 MT Reading Scoresheet'!M47,"")</f>
        <v/>
      </c>
      <c r="N47" s="266" t="str">
        <f>IF('G2 MT Reading Scoresheet'!N47&lt;&gt;"",'G2 MT Reading Scoresheet'!N47,"")</f>
        <v/>
      </c>
      <c r="O47" s="266" t="str">
        <f>IF('G2 MT Reading Scoresheet'!O47&lt;&gt;"",'G2 MT Reading Scoresheet'!O47,"")</f>
        <v/>
      </c>
      <c r="P47" s="118" t="str">
        <f>IF('G2 MT Reading Scoresheet'!P47&lt;&gt;"",'G2 MT Reading Scoresheet'!P47,"")</f>
        <v/>
      </c>
      <c r="Q47" s="122" t="str">
        <f>IF('G2 MT Reading Scoresheet'!Q47&lt;&gt;"",'G2 MT Reading Scoresheet'!Q47,"")</f>
        <v/>
      </c>
      <c r="R47" s="266" t="str">
        <f>IF('G2 MT Reading Scoresheet'!R47&lt;&gt;"",'G2 MT Reading Scoresheet'!R47,"")</f>
        <v/>
      </c>
      <c r="S47" s="266" t="str">
        <f>IF('G2 MT Reading Scoresheet'!S47&lt;&gt;"",'G2 MT Reading Scoresheet'!S47,"")</f>
        <v/>
      </c>
      <c r="T47" s="269" t="str">
        <f>IF('G2 MT Reading Scoresheet'!T47&lt;&gt;"",'G2 MT Reading Scoresheet'!T47,"")</f>
        <v/>
      </c>
      <c r="U47" s="87" t="str">
        <f>IF('G2 MT Reading Scoresheet'!U47&lt;&gt;"",'G2 MT Reading Scoresheet'!U47,"")</f>
        <v/>
      </c>
      <c r="V47" s="270"/>
      <c r="Y47" s="218" t="str">
        <f t="shared" si="0"/>
        <v/>
      </c>
    </row>
    <row r="48" spans="1:25" ht="14.4" x14ac:dyDescent="0.3">
      <c r="A48" s="4">
        <v>38</v>
      </c>
      <c r="B48" s="118" t="str">
        <f>IF('G2 MT Reading Scoresheet'!B48&lt;&gt;"",'G2 MT Reading Scoresheet'!B48,"")</f>
        <v/>
      </c>
      <c r="C48" s="133" t="str">
        <f>IF('G2 MT Reading Scoresheet'!C48&lt;&gt;"",'G2 MT Reading Scoresheet'!C48,"")</f>
        <v/>
      </c>
      <c r="D48" s="134" t="str">
        <f>IF('G2 MT Reading Scoresheet'!D48&lt;&gt;"",'G2 MT Reading Scoresheet'!D48,"")</f>
        <v/>
      </c>
      <c r="E48" s="135" t="str">
        <f>IF('G2 MT Reading Scoresheet'!E48&lt;&gt;"",'G2 MT Reading Scoresheet'!E48,"")</f>
        <v/>
      </c>
      <c r="F48" s="261" t="str">
        <f>IF('G2 MT Reading Scoresheet'!F48&lt;&gt;"",'G2 MT Reading Scoresheet'!F48,"")</f>
        <v/>
      </c>
      <c r="G48" s="262" t="str">
        <f>IF('G2 MT Reading Scoresheet'!G48&lt;&gt;"",'G2 MT Reading Scoresheet'!G48,"")</f>
        <v/>
      </c>
      <c r="H48" s="81" t="str">
        <f>IF('G2 MT Reading Scoresheet'!H48&lt;&gt;"",'G2 MT Reading Scoresheet'!H48,"")</f>
        <v/>
      </c>
      <c r="I48" s="81" t="str">
        <f>IF('G2 MT Reading Scoresheet'!I48&lt;&gt;"",'G2 MT Reading Scoresheet'!I48,"")</f>
        <v/>
      </c>
      <c r="J48" s="82" t="str">
        <f>IF('G2 MT Reading Scoresheet'!J48&lt;&gt;"",'G2 MT Reading Scoresheet'!J48,"")</f>
        <v/>
      </c>
      <c r="K48" s="263" t="str">
        <f>IF('G2 MT Reading Scoresheet'!K48&lt;&gt;"",'G2 MT Reading Scoresheet'!K48,"")</f>
        <v/>
      </c>
      <c r="L48" s="87" t="str">
        <f>IF('G2 MT Reading Scoresheet'!L48&lt;&gt;"",'G2 MT Reading Scoresheet'!L48,"")</f>
        <v/>
      </c>
      <c r="M48" s="118" t="str">
        <f>IF('G2 MT Reading Scoresheet'!M48&lt;&gt;"",'G2 MT Reading Scoresheet'!M48,"")</f>
        <v/>
      </c>
      <c r="N48" s="81" t="str">
        <f>IF('G2 MT Reading Scoresheet'!N48&lt;&gt;"",'G2 MT Reading Scoresheet'!N48,"")</f>
        <v/>
      </c>
      <c r="O48" s="81" t="str">
        <f>IF('G2 MT Reading Scoresheet'!O48&lt;&gt;"",'G2 MT Reading Scoresheet'!O48,"")</f>
        <v/>
      </c>
      <c r="P48" s="118" t="str">
        <f>IF('G2 MT Reading Scoresheet'!P48&lt;&gt;"",'G2 MT Reading Scoresheet'!P48,"")</f>
        <v/>
      </c>
      <c r="Q48" s="122" t="str">
        <f>IF('G2 MT Reading Scoresheet'!Q48&lt;&gt;"",'G2 MT Reading Scoresheet'!Q48,"")</f>
        <v/>
      </c>
      <c r="R48" s="81" t="str">
        <f>IF('G2 MT Reading Scoresheet'!R48&lt;&gt;"",'G2 MT Reading Scoresheet'!R48,"")</f>
        <v/>
      </c>
      <c r="S48" s="81" t="str">
        <f>IF('G2 MT Reading Scoresheet'!S48&lt;&gt;"",'G2 MT Reading Scoresheet'!S48,"")</f>
        <v/>
      </c>
      <c r="T48" s="82" t="str">
        <f>IF('G2 MT Reading Scoresheet'!T48&lt;&gt;"",'G2 MT Reading Scoresheet'!T48,"")</f>
        <v/>
      </c>
      <c r="U48" s="87" t="str">
        <f>IF('G2 MT Reading Scoresheet'!U48&lt;&gt;"",'G2 MT Reading Scoresheet'!U48,"")</f>
        <v/>
      </c>
      <c r="V48" s="264"/>
      <c r="Y48" s="218" t="str">
        <f t="shared" si="0"/>
        <v/>
      </c>
    </row>
    <row r="49" spans="1:25" ht="14.4" x14ac:dyDescent="0.3">
      <c r="A49" s="5">
        <v>39</v>
      </c>
      <c r="B49" s="118" t="str">
        <f>IF('G2 MT Reading Scoresheet'!B49&lt;&gt;"",'G2 MT Reading Scoresheet'!B49,"")</f>
        <v/>
      </c>
      <c r="C49" s="133" t="str">
        <f>IF('G2 MT Reading Scoresheet'!C49&lt;&gt;"",'G2 MT Reading Scoresheet'!C49,"")</f>
        <v/>
      </c>
      <c r="D49" s="134" t="str">
        <f>IF('G2 MT Reading Scoresheet'!D49&lt;&gt;"",'G2 MT Reading Scoresheet'!D49,"")</f>
        <v/>
      </c>
      <c r="E49" s="135" t="str">
        <f>IF('G2 MT Reading Scoresheet'!E49&lt;&gt;"",'G2 MT Reading Scoresheet'!E49,"")</f>
        <v/>
      </c>
      <c r="F49" s="265" t="str">
        <f>IF('G2 MT Reading Scoresheet'!F49&lt;&gt;"",'G2 MT Reading Scoresheet'!F49,"")</f>
        <v/>
      </c>
      <c r="G49" s="255" t="str">
        <f>IF('G2 MT Reading Scoresheet'!G49&lt;&gt;"",'G2 MT Reading Scoresheet'!G49,"")</f>
        <v/>
      </c>
      <c r="H49" s="266" t="str">
        <f>IF('G2 MT Reading Scoresheet'!H49&lt;&gt;"",'G2 MT Reading Scoresheet'!H49,"")</f>
        <v/>
      </c>
      <c r="I49" s="81" t="str">
        <f>IF('G2 MT Reading Scoresheet'!I49&lt;&gt;"",'G2 MT Reading Scoresheet'!I49,"")</f>
        <v/>
      </c>
      <c r="J49" s="82" t="str">
        <f>IF('G2 MT Reading Scoresheet'!J49&lt;&gt;"",'G2 MT Reading Scoresheet'!J49,"")</f>
        <v/>
      </c>
      <c r="K49" s="267" t="str">
        <f>IF('G2 MT Reading Scoresheet'!K49&lt;&gt;"",'G2 MT Reading Scoresheet'!K49,"")</f>
        <v/>
      </c>
      <c r="L49" s="268" t="str">
        <f>IF('G2 MT Reading Scoresheet'!L49&lt;&gt;"",'G2 MT Reading Scoresheet'!L49,"")</f>
        <v/>
      </c>
      <c r="M49" s="118" t="str">
        <f>IF('G2 MT Reading Scoresheet'!M49&lt;&gt;"",'G2 MT Reading Scoresheet'!M49,"")</f>
        <v/>
      </c>
      <c r="N49" s="266" t="str">
        <f>IF('G2 MT Reading Scoresheet'!N49&lt;&gt;"",'G2 MT Reading Scoresheet'!N49,"")</f>
        <v/>
      </c>
      <c r="O49" s="266" t="str">
        <f>IF('G2 MT Reading Scoresheet'!O49&lt;&gt;"",'G2 MT Reading Scoresheet'!O49,"")</f>
        <v/>
      </c>
      <c r="P49" s="118" t="str">
        <f>IF('G2 MT Reading Scoresheet'!P49&lt;&gt;"",'G2 MT Reading Scoresheet'!P49,"")</f>
        <v/>
      </c>
      <c r="Q49" s="122" t="str">
        <f>IF('G2 MT Reading Scoresheet'!Q49&lt;&gt;"",'G2 MT Reading Scoresheet'!Q49,"")</f>
        <v/>
      </c>
      <c r="R49" s="266" t="str">
        <f>IF('G2 MT Reading Scoresheet'!R49&lt;&gt;"",'G2 MT Reading Scoresheet'!R49,"")</f>
        <v/>
      </c>
      <c r="S49" s="266" t="str">
        <f>IF('G2 MT Reading Scoresheet'!S49&lt;&gt;"",'G2 MT Reading Scoresheet'!S49,"")</f>
        <v/>
      </c>
      <c r="T49" s="269" t="str">
        <f>IF('G2 MT Reading Scoresheet'!T49&lt;&gt;"",'G2 MT Reading Scoresheet'!T49,"")</f>
        <v/>
      </c>
      <c r="U49" s="87" t="str">
        <f>IF('G2 MT Reading Scoresheet'!U49&lt;&gt;"",'G2 MT Reading Scoresheet'!U49,"")</f>
        <v/>
      </c>
      <c r="V49" s="270"/>
      <c r="Y49" s="218" t="str">
        <f t="shared" si="0"/>
        <v/>
      </c>
    </row>
    <row r="50" spans="1:25" ht="14.4" x14ac:dyDescent="0.3">
      <c r="A50" s="4">
        <v>40</v>
      </c>
      <c r="B50" s="118" t="str">
        <f>IF('G2 MT Reading Scoresheet'!B50&lt;&gt;"",'G2 MT Reading Scoresheet'!B50,"")</f>
        <v/>
      </c>
      <c r="C50" s="133" t="str">
        <f>IF('G2 MT Reading Scoresheet'!C50&lt;&gt;"",'G2 MT Reading Scoresheet'!C50,"")</f>
        <v/>
      </c>
      <c r="D50" s="134" t="str">
        <f>IF('G2 MT Reading Scoresheet'!D50&lt;&gt;"",'G2 MT Reading Scoresheet'!D50,"")</f>
        <v/>
      </c>
      <c r="E50" s="135" t="str">
        <f>IF('G2 MT Reading Scoresheet'!E50&lt;&gt;"",'G2 MT Reading Scoresheet'!E50,"")</f>
        <v/>
      </c>
      <c r="F50" s="261" t="str">
        <f>IF('G2 MT Reading Scoresheet'!F50&lt;&gt;"",'G2 MT Reading Scoresheet'!F50,"")</f>
        <v/>
      </c>
      <c r="G50" s="262" t="str">
        <f>IF('G2 MT Reading Scoresheet'!G50&lt;&gt;"",'G2 MT Reading Scoresheet'!G50,"")</f>
        <v/>
      </c>
      <c r="H50" s="81" t="str">
        <f>IF('G2 MT Reading Scoresheet'!H50&lt;&gt;"",'G2 MT Reading Scoresheet'!H50,"")</f>
        <v/>
      </c>
      <c r="I50" s="81" t="str">
        <f>IF('G2 MT Reading Scoresheet'!I50&lt;&gt;"",'G2 MT Reading Scoresheet'!I50,"")</f>
        <v/>
      </c>
      <c r="J50" s="82" t="str">
        <f>IF('G2 MT Reading Scoresheet'!J50&lt;&gt;"",'G2 MT Reading Scoresheet'!J50,"")</f>
        <v/>
      </c>
      <c r="K50" s="263" t="str">
        <f>IF('G2 MT Reading Scoresheet'!K50&lt;&gt;"",'G2 MT Reading Scoresheet'!K50,"")</f>
        <v/>
      </c>
      <c r="L50" s="87" t="str">
        <f>IF('G2 MT Reading Scoresheet'!L50&lt;&gt;"",'G2 MT Reading Scoresheet'!L50,"")</f>
        <v/>
      </c>
      <c r="M50" s="118" t="str">
        <f>IF('G2 MT Reading Scoresheet'!M50&lt;&gt;"",'G2 MT Reading Scoresheet'!M50,"")</f>
        <v/>
      </c>
      <c r="N50" s="81" t="str">
        <f>IF('G2 MT Reading Scoresheet'!N50&lt;&gt;"",'G2 MT Reading Scoresheet'!N50,"")</f>
        <v/>
      </c>
      <c r="O50" s="81" t="str">
        <f>IF('G2 MT Reading Scoresheet'!O50&lt;&gt;"",'G2 MT Reading Scoresheet'!O50,"")</f>
        <v/>
      </c>
      <c r="P50" s="118" t="str">
        <f>IF('G2 MT Reading Scoresheet'!P50&lt;&gt;"",'G2 MT Reading Scoresheet'!P50,"")</f>
        <v/>
      </c>
      <c r="Q50" s="122" t="str">
        <f>IF('G2 MT Reading Scoresheet'!Q50&lt;&gt;"",'G2 MT Reading Scoresheet'!Q50,"")</f>
        <v/>
      </c>
      <c r="R50" s="81" t="str">
        <f>IF('G2 MT Reading Scoresheet'!R50&lt;&gt;"",'G2 MT Reading Scoresheet'!R50,"")</f>
        <v/>
      </c>
      <c r="S50" s="81" t="str">
        <f>IF('G2 MT Reading Scoresheet'!S50&lt;&gt;"",'G2 MT Reading Scoresheet'!S50,"")</f>
        <v/>
      </c>
      <c r="T50" s="82" t="str">
        <f>IF('G2 MT Reading Scoresheet'!T50&lt;&gt;"",'G2 MT Reading Scoresheet'!T50,"")</f>
        <v/>
      </c>
      <c r="U50" s="87" t="str">
        <f>IF('G2 MT Reading Scoresheet'!U50&lt;&gt;"",'G2 MT Reading Scoresheet'!U50,"")</f>
        <v/>
      </c>
      <c r="V50" s="264"/>
      <c r="Y50" s="218" t="str">
        <f t="shared" si="0"/>
        <v/>
      </c>
    </row>
    <row r="51" spans="1:25" ht="14.4" x14ac:dyDescent="0.3">
      <c r="A51" s="5">
        <v>41</v>
      </c>
      <c r="B51" s="118" t="str">
        <f>IF('G2 MT Reading Scoresheet'!B51&lt;&gt;"",'G2 MT Reading Scoresheet'!B51,"")</f>
        <v/>
      </c>
      <c r="C51" s="133" t="str">
        <f>IF('G2 MT Reading Scoresheet'!C51&lt;&gt;"",'G2 MT Reading Scoresheet'!C51,"")</f>
        <v/>
      </c>
      <c r="D51" s="134" t="str">
        <f>IF('G2 MT Reading Scoresheet'!D51&lt;&gt;"",'G2 MT Reading Scoresheet'!D51,"")</f>
        <v/>
      </c>
      <c r="E51" s="135" t="str">
        <f>IF('G2 MT Reading Scoresheet'!E51&lt;&gt;"",'G2 MT Reading Scoresheet'!E51,"")</f>
        <v/>
      </c>
      <c r="F51" s="265" t="str">
        <f>IF('G2 MT Reading Scoresheet'!F51&lt;&gt;"",'G2 MT Reading Scoresheet'!F51,"")</f>
        <v/>
      </c>
      <c r="G51" s="255" t="str">
        <f>IF('G2 MT Reading Scoresheet'!G51&lt;&gt;"",'G2 MT Reading Scoresheet'!G51,"")</f>
        <v/>
      </c>
      <c r="H51" s="266" t="str">
        <f>IF('G2 MT Reading Scoresheet'!H51&lt;&gt;"",'G2 MT Reading Scoresheet'!H51,"")</f>
        <v/>
      </c>
      <c r="I51" s="81" t="str">
        <f>IF('G2 MT Reading Scoresheet'!I51&lt;&gt;"",'G2 MT Reading Scoresheet'!I51,"")</f>
        <v/>
      </c>
      <c r="J51" s="82" t="str">
        <f>IF('G2 MT Reading Scoresheet'!J51&lt;&gt;"",'G2 MT Reading Scoresheet'!J51,"")</f>
        <v/>
      </c>
      <c r="K51" s="267" t="str">
        <f>IF('G2 MT Reading Scoresheet'!K51&lt;&gt;"",'G2 MT Reading Scoresheet'!K51,"")</f>
        <v/>
      </c>
      <c r="L51" s="268" t="str">
        <f>IF('G2 MT Reading Scoresheet'!L51&lt;&gt;"",'G2 MT Reading Scoresheet'!L51,"")</f>
        <v/>
      </c>
      <c r="M51" s="118" t="str">
        <f>IF('G2 MT Reading Scoresheet'!M51&lt;&gt;"",'G2 MT Reading Scoresheet'!M51,"")</f>
        <v/>
      </c>
      <c r="N51" s="266" t="str">
        <f>IF('G2 MT Reading Scoresheet'!N51&lt;&gt;"",'G2 MT Reading Scoresheet'!N51,"")</f>
        <v/>
      </c>
      <c r="O51" s="266" t="str">
        <f>IF('G2 MT Reading Scoresheet'!O51&lt;&gt;"",'G2 MT Reading Scoresheet'!O51,"")</f>
        <v/>
      </c>
      <c r="P51" s="118" t="str">
        <f>IF('G2 MT Reading Scoresheet'!P51&lt;&gt;"",'G2 MT Reading Scoresheet'!P51,"")</f>
        <v/>
      </c>
      <c r="Q51" s="122" t="str">
        <f>IF('G2 MT Reading Scoresheet'!Q51&lt;&gt;"",'G2 MT Reading Scoresheet'!Q51,"")</f>
        <v/>
      </c>
      <c r="R51" s="266" t="str">
        <f>IF('G2 MT Reading Scoresheet'!R51&lt;&gt;"",'G2 MT Reading Scoresheet'!R51,"")</f>
        <v/>
      </c>
      <c r="S51" s="266" t="str">
        <f>IF('G2 MT Reading Scoresheet'!S51&lt;&gt;"",'G2 MT Reading Scoresheet'!S51,"")</f>
        <v/>
      </c>
      <c r="T51" s="269" t="str">
        <f>IF('G2 MT Reading Scoresheet'!T51&lt;&gt;"",'G2 MT Reading Scoresheet'!T51,"")</f>
        <v/>
      </c>
      <c r="U51" s="87" t="str">
        <f>IF('G2 MT Reading Scoresheet'!U51&lt;&gt;"",'G2 MT Reading Scoresheet'!U51,"")</f>
        <v/>
      </c>
      <c r="V51" s="270"/>
      <c r="Y51" s="218" t="str">
        <f t="shared" si="0"/>
        <v/>
      </c>
    </row>
    <row r="52" spans="1:25" ht="14.4" x14ac:dyDescent="0.3">
      <c r="A52" s="4">
        <v>42</v>
      </c>
      <c r="B52" s="118" t="str">
        <f>IF('G2 MT Reading Scoresheet'!B52&lt;&gt;"",'G2 MT Reading Scoresheet'!B52,"")</f>
        <v/>
      </c>
      <c r="C52" s="133" t="str">
        <f>IF('G2 MT Reading Scoresheet'!C52&lt;&gt;"",'G2 MT Reading Scoresheet'!C52,"")</f>
        <v/>
      </c>
      <c r="D52" s="134" t="str">
        <f>IF('G2 MT Reading Scoresheet'!D52&lt;&gt;"",'G2 MT Reading Scoresheet'!D52,"")</f>
        <v/>
      </c>
      <c r="E52" s="135" t="str">
        <f>IF('G2 MT Reading Scoresheet'!E52&lt;&gt;"",'G2 MT Reading Scoresheet'!E52,"")</f>
        <v/>
      </c>
      <c r="F52" s="261" t="str">
        <f>IF('G2 MT Reading Scoresheet'!F52&lt;&gt;"",'G2 MT Reading Scoresheet'!F52,"")</f>
        <v/>
      </c>
      <c r="G52" s="262" t="str">
        <f>IF('G2 MT Reading Scoresheet'!G52&lt;&gt;"",'G2 MT Reading Scoresheet'!G52,"")</f>
        <v/>
      </c>
      <c r="H52" s="81" t="str">
        <f>IF('G2 MT Reading Scoresheet'!H52&lt;&gt;"",'G2 MT Reading Scoresheet'!H52,"")</f>
        <v/>
      </c>
      <c r="I52" s="81" t="str">
        <f>IF('G2 MT Reading Scoresheet'!I52&lt;&gt;"",'G2 MT Reading Scoresheet'!I52,"")</f>
        <v/>
      </c>
      <c r="J52" s="82" t="str">
        <f>IF('G2 MT Reading Scoresheet'!J52&lt;&gt;"",'G2 MT Reading Scoresheet'!J52,"")</f>
        <v/>
      </c>
      <c r="K52" s="263" t="str">
        <f>IF('G2 MT Reading Scoresheet'!K52&lt;&gt;"",'G2 MT Reading Scoresheet'!K52,"")</f>
        <v/>
      </c>
      <c r="L52" s="87" t="str">
        <f>IF('G2 MT Reading Scoresheet'!L52&lt;&gt;"",'G2 MT Reading Scoresheet'!L52,"")</f>
        <v/>
      </c>
      <c r="M52" s="118" t="str">
        <f>IF('G2 MT Reading Scoresheet'!M52&lt;&gt;"",'G2 MT Reading Scoresheet'!M52,"")</f>
        <v/>
      </c>
      <c r="N52" s="81" t="str">
        <f>IF('G2 MT Reading Scoresheet'!N52&lt;&gt;"",'G2 MT Reading Scoresheet'!N52,"")</f>
        <v/>
      </c>
      <c r="O52" s="81" t="str">
        <f>IF('G2 MT Reading Scoresheet'!O52&lt;&gt;"",'G2 MT Reading Scoresheet'!O52,"")</f>
        <v/>
      </c>
      <c r="P52" s="118" t="str">
        <f>IF('G2 MT Reading Scoresheet'!P52&lt;&gt;"",'G2 MT Reading Scoresheet'!P52,"")</f>
        <v/>
      </c>
      <c r="Q52" s="122" t="str">
        <f>IF('G2 MT Reading Scoresheet'!Q52&lt;&gt;"",'G2 MT Reading Scoresheet'!Q52,"")</f>
        <v/>
      </c>
      <c r="R52" s="81" t="str">
        <f>IF('G2 MT Reading Scoresheet'!R52&lt;&gt;"",'G2 MT Reading Scoresheet'!R52,"")</f>
        <v/>
      </c>
      <c r="S52" s="81" t="str">
        <f>IF('G2 MT Reading Scoresheet'!S52&lt;&gt;"",'G2 MT Reading Scoresheet'!S52,"")</f>
        <v/>
      </c>
      <c r="T52" s="82" t="str">
        <f>IF('G2 MT Reading Scoresheet'!T52&lt;&gt;"",'G2 MT Reading Scoresheet'!T52,"")</f>
        <v/>
      </c>
      <c r="U52" s="87" t="str">
        <f>IF('G2 MT Reading Scoresheet'!U52&lt;&gt;"",'G2 MT Reading Scoresheet'!U52,"")</f>
        <v/>
      </c>
      <c r="V52" s="264"/>
      <c r="Y52" s="218" t="str">
        <f t="shared" si="0"/>
        <v/>
      </c>
    </row>
    <row r="53" spans="1:25" ht="14.4" x14ac:dyDescent="0.3">
      <c r="A53" s="5">
        <v>43</v>
      </c>
      <c r="B53" s="118" t="str">
        <f>IF('G2 MT Reading Scoresheet'!B53&lt;&gt;"",'G2 MT Reading Scoresheet'!B53,"")</f>
        <v/>
      </c>
      <c r="C53" s="133" t="str">
        <f>IF('G2 MT Reading Scoresheet'!C53&lt;&gt;"",'G2 MT Reading Scoresheet'!C53,"")</f>
        <v/>
      </c>
      <c r="D53" s="134" t="str">
        <f>IF('G2 MT Reading Scoresheet'!D53&lt;&gt;"",'G2 MT Reading Scoresheet'!D53,"")</f>
        <v/>
      </c>
      <c r="E53" s="135" t="str">
        <f>IF('G2 MT Reading Scoresheet'!E53&lt;&gt;"",'G2 MT Reading Scoresheet'!E53,"")</f>
        <v/>
      </c>
      <c r="F53" s="265" t="str">
        <f>IF('G2 MT Reading Scoresheet'!F53&lt;&gt;"",'G2 MT Reading Scoresheet'!F53,"")</f>
        <v/>
      </c>
      <c r="G53" s="255" t="str">
        <f>IF('G2 MT Reading Scoresheet'!G53&lt;&gt;"",'G2 MT Reading Scoresheet'!G53,"")</f>
        <v/>
      </c>
      <c r="H53" s="266" t="str">
        <f>IF('G2 MT Reading Scoresheet'!H53&lt;&gt;"",'G2 MT Reading Scoresheet'!H53,"")</f>
        <v/>
      </c>
      <c r="I53" s="81" t="str">
        <f>IF('G2 MT Reading Scoresheet'!I53&lt;&gt;"",'G2 MT Reading Scoresheet'!I53,"")</f>
        <v/>
      </c>
      <c r="J53" s="82" t="str">
        <f>IF('G2 MT Reading Scoresheet'!J53&lt;&gt;"",'G2 MT Reading Scoresheet'!J53,"")</f>
        <v/>
      </c>
      <c r="K53" s="267" t="str">
        <f>IF('G2 MT Reading Scoresheet'!K53&lt;&gt;"",'G2 MT Reading Scoresheet'!K53,"")</f>
        <v/>
      </c>
      <c r="L53" s="268" t="str">
        <f>IF('G2 MT Reading Scoresheet'!L53&lt;&gt;"",'G2 MT Reading Scoresheet'!L53,"")</f>
        <v/>
      </c>
      <c r="M53" s="118" t="str">
        <f>IF('G2 MT Reading Scoresheet'!M53&lt;&gt;"",'G2 MT Reading Scoresheet'!M53,"")</f>
        <v/>
      </c>
      <c r="N53" s="266" t="str">
        <f>IF('G2 MT Reading Scoresheet'!N53&lt;&gt;"",'G2 MT Reading Scoresheet'!N53,"")</f>
        <v/>
      </c>
      <c r="O53" s="266" t="str">
        <f>IF('G2 MT Reading Scoresheet'!O53&lt;&gt;"",'G2 MT Reading Scoresheet'!O53,"")</f>
        <v/>
      </c>
      <c r="P53" s="118" t="str">
        <f>IF('G2 MT Reading Scoresheet'!P53&lt;&gt;"",'G2 MT Reading Scoresheet'!P53,"")</f>
        <v/>
      </c>
      <c r="Q53" s="122" t="str">
        <f>IF('G2 MT Reading Scoresheet'!Q53&lt;&gt;"",'G2 MT Reading Scoresheet'!Q53,"")</f>
        <v/>
      </c>
      <c r="R53" s="266" t="str">
        <f>IF('G2 MT Reading Scoresheet'!R53&lt;&gt;"",'G2 MT Reading Scoresheet'!R53,"")</f>
        <v/>
      </c>
      <c r="S53" s="266" t="str">
        <f>IF('G2 MT Reading Scoresheet'!S53&lt;&gt;"",'G2 MT Reading Scoresheet'!S53,"")</f>
        <v/>
      </c>
      <c r="T53" s="269" t="str">
        <f>IF('G2 MT Reading Scoresheet'!T53&lt;&gt;"",'G2 MT Reading Scoresheet'!T53,"")</f>
        <v/>
      </c>
      <c r="U53" s="87" t="str">
        <f>IF('G2 MT Reading Scoresheet'!U53&lt;&gt;"",'G2 MT Reading Scoresheet'!U53,"")</f>
        <v/>
      </c>
      <c r="V53" s="270"/>
      <c r="Y53" s="218" t="str">
        <f t="shared" si="0"/>
        <v/>
      </c>
    </row>
    <row r="54" spans="1:25" ht="14.4" x14ac:dyDescent="0.3">
      <c r="A54" s="4">
        <v>44</v>
      </c>
      <c r="B54" s="118" t="str">
        <f>IF('G2 MT Reading Scoresheet'!B54&lt;&gt;"",'G2 MT Reading Scoresheet'!B54,"")</f>
        <v/>
      </c>
      <c r="C54" s="133" t="str">
        <f>IF('G2 MT Reading Scoresheet'!C54&lt;&gt;"",'G2 MT Reading Scoresheet'!C54,"")</f>
        <v/>
      </c>
      <c r="D54" s="134" t="str">
        <f>IF('G2 MT Reading Scoresheet'!D54&lt;&gt;"",'G2 MT Reading Scoresheet'!D54,"")</f>
        <v/>
      </c>
      <c r="E54" s="135" t="str">
        <f>IF('G2 MT Reading Scoresheet'!E54&lt;&gt;"",'G2 MT Reading Scoresheet'!E54,"")</f>
        <v/>
      </c>
      <c r="F54" s="261" t="str">
        <f>IF('G2 MT Reading Scoresheet'!F54&lt;&gt;"",'G2 MT Reading Scoresheet'!F54,"")</f>
        <v/>
      </c>
      <c r="G54" s="262" t="str">
        <f>IF('G2 MT Reading Scoresheet'!G54&lt;&gt;"",'G2 MT Reading Scoresheet'!G54,"")</f>
        <v/>
      </c>
      <c r="H54" s="81" t="str">
        <f>IF('G2 MT Reading Scoresheet'!H54&lt;&gt;"",'G2 MT Reading Scoresheet'!H54,"")</f>
        <v/>
      </c>
      <c r="I54" s="81" t="str">
        <f>IF('G2 MT Reading Scoresheet'!I54&lt;&gt;"",'G2 MT Reading Scoresheet'!I54,"")</f>
        <v/>
      </c>
      <c r="J54" s="82" t="str">
        <f>IF('G2 MT Reading Scoresheet'!J54&lt;&gt;"",'G2 MT Reading Scoresheet'!J54,"")</f>
        <v/>
      </c>
      <c r="K54" s="263" t="str">
        <f>IF('G2 MT Reading Scoresheet'!K54&lt;&gt;"",'G2 MT Reading Scoresheet'!K54,"")</f>
        <v/>
      </c>
      <c r="L54" s="87" t="str">
        <f>IF('G2 MT Reading Scoresheet'!L54&lt;&gt;"",'G2 MT Reading Scoresheet'!L54,"")</f>
        <v/>
      </c>
      <c r="M54" s="118" t="str">
        <f>IF('G2 MT Reading Scoresheet'!M54&lt;&gt;"",'G2 MT Reading Scoresheet'!M54,"")</f>
        <v/>
      </c>
      <c r="N54" s="81" t="str">
        <f>IF('G2 MT Reading Scoresheet'!N54&lt;&gt;"",'G2 MT Reading Scoresheet'!N54,"")</f>
        <v/>
      </c>
      <c r="O54" s="81" t="str">
        <f>IF('G2 MT Reading Scoresheet'!O54&lt;&gt;"",'G2 MT Reading Scoresheet'!O54,"")</f>
        <v/>
      </c>
      <c r="P54" s="118" t="str">
        <f>IF('G2 MT Reading Scoresheet'!P54&lt;&gt;"",'G2 MT Reading Scoresheet'!P54,"")</f>
        <v/>
      </c>
      <c r="Q54" s="122" t="str">
        <f>IF('G2 MT Reading Scoresheet'!Q54&lt;&gt;"",'G2 MT Reading Scoresheet'!Q54,"")</f>
        <v/>
      </c>
      <c r="R54" s="81" t="str">
        <f>IF('G2 MT Reading Scoresheet'!R54&lt;&gt;"",'G2 MT Reading Scoresheet'!R54,"")</f>
        <v/>
      </c>
      <c r="S54" s="81" t="str">
        <f>IF('G2 MT Reading Scoresheet'!S54&lt;&gt;"",'G2 MT Reading Scoresheet'!S54,"")</f>
        <v/>
      </c>
      <c r="T54" s="82" t="str">
        <f>IF('G2 MT Reading Scoresheet'!T54&lt;&gt;"",'G2 MT Reading Scoresheet'!T54,"")</f>
        <v/>
      </c>
      <c r="U54" s="87" t="str">
        <f>IF('G2 MT Reading Scoresheet'!U54&lt;&gt;"",'G2 MT Reading Scoresheet'!U54,"")</f>
        <v/>
      </c>
      <c r="V54" s="264"/>
      <c r="Y54" s="218" t="str">
        <f t="shared" si="0"/>
        <v/>
      </c>
    </row>
    <row r="55" spans="1:25" ht="14.4" x14ac:dyDescent="0.3">
      <c r="A55" s="5">
        <v>45</v>
      </c>
      <c r="B55" s="118" t="str">
        <f>IF('G2 MT Reading Scoresheet'!B55&lt;&gt;"",'G2 MT Reading Scoresheet'!B55,"")</f>
        <v/>
      </c>
      <c r="C55" s="133" t="str">
        <f>IF('G2 MT Reading Scoresheet'!C55&lt;&gt;"",'G2 MT Reading Scoresheet'!C55,"")</f>
        <v/>
      </c>
      <c r="D55" s="134" t="str">
        <f>IF('G2 MT Reading Scoresheet'!D55&lt;&gt;"",'G2 MT Reading Scoresheet'!D55,"")</f>
        <v/>
      </c>
      <c r="E55" s="135" t="str">
        <f>IF('G2 MT Reading Scoresheet'!E55&lt;&gt;"",'G2 MT Reading Scoresheet'!E55,"")</f>
        <v/>
      </c>
      <c r="F55" s="265" t="str">
        <f>IF('G2 MT Reading Scoresheet'!F55&lt;&gt;"",'G2 MT Reading Scoresheet'!F55,"")</f>
        <v/>
      </c>
      <c r="G55" s="255" t="str">
        <f>IF('G2 MT Reading Scoresheet'!G55&lt;&gt;"",'G2 MT Reading Scoresheet'!G55,"")</f>
        <v/>
      </c>
      <c r="H55" s="266" t="str">
        <f>IF('G2 MT Reading Scoresheet'!H55&lt;&gt;"",'G2 MT Reading Scoresheet'!H55,"")</f>
        <v/>
      </c>
      <c r="I55" s="81" t="str">
        <f>IF('G2 MT Reading Scoresheet'!I55&lt;&gt;"",'G2 MT Reading Scoresheet'!I55,"")</f>
        <v/>
      </c>
      <c r="J55" s="82" t="str">
        <f>IF('G2 MT Reading Scoresheet'!J55&lt;&gt;"",'G2 MT Reading Scoresheet'!J55,"")</f>
        <v/>
      </c>
      <c r="K55" s="267" t="str">
        <f>IF('G2 MT Reading Scoresheet'!K55&lt;&gt;"",'G2 MT Reading Scoresheet'!K55,"")</f>
        <v/>
      </c>
      <c r="L55" s="268" t="str">
        <f>IF('G2 MT Reading Scoresheet'!L55&lt;&gt;"",'G2 MT Reading Scoresheet'!L55,"")</f>
        <v/>
      </c>
      <c r="M55" s="118" t="str">
        <f>IF('G2 MT Reading Scoresheet'!M55&lt;&gt;"",'G2 MT Reading Scoresheet'!M55,"")</f>
        <v/>
      </c>
      <c r="N55" s="266" t="str">
        <f>IF('G2 MT Reading Scoresheet'!N55&lt;&gt;"",'G2 MT Reading Scoresheet'!N55,"")</f>
        <v/>
      </c>
      <c r="O55" s="266" t="str">
        <f>IF('G2 MT Reading Scoresheet'!O55&lt;&gt;"",'G2 MT Reading Scoresheet'!O55,"")</f>
        <v/>
      </c>
      <c r="P55" s="118" t="str">
        <f>IF('G2 MT Reading Scoresheet'!P55&lt;&gt;"",'G2 MT Reading Scoresheet'!P55,"")</f>
        <v/>
      </c>
      <c r="Q55" s="122" t="str">
        <f>IF('G2 MT Reading Scoresheet'!Q55&lt;&gt;"",'G2 MT Reading Scoresheet'!Q55,"")</f>
        <v/>
      </c>
      <c r="R55" s="266" t="str">
        <f>IF('G2 MT Reading Scoresheet'!R55&lt;&gt;"",'G2 MT Reading Scoresheet'!R55,"")</f>
        <v/>
      </c>
      <c r="S55" s="266" t="str">
        <f>IF('G2 MT Reading Scoresheet'!S55&lt;&gt;"",'G2 MT Reading Scoresheet'!S55,"")</f>
        <v/>
      </c>
      <c r="T55" s="269" t="str">
        <f>IF('G2 MT Reading Scoresheet'!T55&lt;&gt;"",'G2 MT Reading Scoresheet'!T55,"")</f>
        <v/>
      </c>
      <c r="U55" s="87" t="str">
        <f>IF('G2 MT Reading Scoresheet'!U55&lt;&gt;"",'G2 MT Reading Scoresheet'!U55,"")</f>
        <v/>
      </c>
      <c r="V55" s="270"/>
      <c r="Y55" s="218" t="str">
        <f t="shared" si="0"/>
        <v/>
      </c>
    </row>
    <row r="56" spans="1:25" ht="14.4" x14ac:dyDescent="0.3">
      <c r="A56" s="4">
        <v>46</v>
      </c>
      <c r="B56" s="118" t="str">
        <f>IF('G2 MT Reading Scoresheet'!B56&lt;&gt;"",'G2 MT Reading Scoresheet'!B56,"")</f>
        <v/>
      </c>
      <c r="C56" s="133" t="str">
        <f>IF('G2 MT Reading Scoresheet'!C56&lt;&gt;"",'G2 MT Reading Scoresheet'!C56,"")</f>
        <v/>
      </c>
      <c r="D56" s="134" t="str">
        <f>IF('G2 MT Reading Scoresheet'!D56&lt;&gt;"",'G2 MT Reading Scoresheet'!D56,"")</f>
        <v/>
      </c>
      <c r="E56" s="135" t="str">
        <f>IF('G2 MT Reading Scoresheet'!E56&lt;&gt;"",'G2 MT Reading Scoresheet'!E56,"")</f>
        <v/>
      </c>
      <c r="F56" s="261" t="str">
        <f>IF('G2 MT Reading Scoresheet'!F56&lt;&gt;"",'G2 MT Reading Scoresheet'!F56,"")</f>
        <v/>
      </c>
      <c r="G56" s="262" t="str">
        <f>IF('G2 MT Reading Scoresheet'!G56&lt;&gt;"",'G2 MT Reading Scoresheet'!G56,"")</f>
        <v/>
      </c>
      <c r="H56" s="81" t="str">
        <f>IF('G2 MT Reading Scoresheet'!H56&lt;&gt;"",'G2 MT Reading Scoresheet'!H56,"")</f>
        <v/>
      </c>
      <c r="I56" s="81" t="str">
        <f>IF('G2 MT Reading Scoresheet'!I56&lt;&gt;"",'G2 MT Reading Scoresheet'!I56,"")</f>
        <v/>
      </c>
      <c r="J56" s="82" t="str">
        <f>IF('G2 MT Reading Scoresheet'!J56&lt;&gt;"",'G2 MT Reading Scoresheet'!J56,"")</f>
        <v/>
      </c>
      <c r="K56" s="263" t="str">
        <f>IF('G2 MT Reading Scoresheet'!K56&lt;&gt;"",'G2 MT Reading Scoresheet'!K56,"")</f>
        <v/>
      </c>
      <c r="L56" s="87" t="str">
        <f>IF('G2 MT Reading Scoresheet'!L56&lt;&gt;"",'G2 MT Reading Scoresheet'!L56,"")</f>
        <v/>
      </c>
      <c r="M56" s="118" t="str">
        <f>IF('G2 MT Reading Scoresheet'!M56&lt;&gt;"",'G2 MT Reading Scoresheet'!M56,"")</f>
        <v/>
      </c>
      <c r="N56" s="81" t="str">
        <f>IF('G2 MT Reading Scoresheet'!N56&lt;&gt;"",'G2 MT Reading Scoresheet'!N56,"")</f>
        <v/>
      </c>
      <c r="O56" s="81" t="str">
        <f>IF('G2 MT Reading Scoresheet'!O56&lt;&gt;"",'G2 MT Reading Scoresheet'!O56,"")</f>
        <v/>
      </c>
      <c r="P56" s="118" t="str">
        <f>IF('G2 MT Reading Scoresheet'!P56&lt;&gt;"",'G2 MT Reading Scoresheet'!P56,"")</f>
        <v/>
      </c>
      <c r="Q56" s="122" t="str">
        <f>IF('G2 MT Reading Scoresheet'!Q56&lt;&gt;"",'G2 MT Reading Scoresheet'!Q56,"")</f>
        <v/>
      </c>
      <c r="R56" s="81" t="str">
        <f>IF('G2 MT Reading Scoresheet'!R56&lt;&gt;"",'G2 MT Reading Scoresheet'!R56,"")</f>
        <v/>
      </c>
      <c r="S56" s="81" t="str">
        <f>IF('G2 MT Reading Scoresheet'!S56&lt;&gt;"",'G2 MT Reading Scoresheet'!S56,"")</f>
        <v/>
      </c>
      <c r="T56" s="82" t="str">
        <f>IF('G2 MT Reading Scoresheet'!T56&lt;&gt;"",'G2 MT Reading Scoresheet'!T56,"")</f>
        <v/>
      </c>
      <c r="U56" s="87" t="str">
        <f>IF('G2 MT Reading Scoresheet'!U56&lt;&gt;"",'G2 MT Reading Scoresheet'!U56,"")</f>
        <v/>
      </c>
      <c r="V56" s="264"/>
      <c r="Y56" s="218" t="str">
        <f t="shared" si="0"/>
        <v/>
      </c>
    </row>
    <row r="57" spans="1:25" ht="14.4" x14ac:dyDescent="0.3">
      <c r="A57" s="5">
        <v>47</v>
      </c>
      <c r="B57" s="118" t="str">
        <f>IF('G2 MT Reading Scoresheet'!B57&lt;&gt;"",'G2 MT Reading Scoresheet'!B57,"")</f>
        <v/>
      </c>
      <c r="C57" s="133" t="str">
        <f>IF('G2 MT Reading Scoresheet'!C57&lt;&gt;"",'G2 MT Reading Scoresheet'!C57,"")</f>
        <v/>
      </c>
      <c r="D57" s="134" t="str">
        <f>IF('G2 MT Reading Scoresheet'!D57&lt;&gt;"",'G2 MT Reading Scoresheet'!D57,"")</f>
        <v/>
      </c>
      <c r="E57" s="135" t="str">
        <f>IF('G2 MT Reading Scoresheet'!E57&lt;&gt;"",'G2 MT Reading Scoresheet'!E57,"")</f>
        <v/>
      </c>
      <c r="F57" s="265" t="str">
        <f>IF('G2 MT Reading Scoresheet'!F57&lt;&gt;"",'G2 MT Reading Scoresheet'!F57,"")</f>
        <v/>
      </c>
      <c r="G57" s="255" t="str">
        <f>IF('G2 MT Reading Scoresheet'!G57&lt;&gt;"",'G2 MT Reading Scoresheet'!G57,"")</f>
        <v/>
      </c>
      <c r="H57" s="266" t="str">
        <f>IF('G2 MT Reading Scoresheet'!H57&lt;&gt;"",'G2 MT Reading Scoresheet'!H57,"")</f>
        <v/>
      </c>
      <c r="I57" s="81" t="str">
        <f>IF('G2 MT Reading Scoresheet'!I57&lt;&gt;"",'G2 MT Reading Scoresheet'!I57,"")</f>
        <v/>
      </c>
      <c r="J57" s="82" t="str">
        <f>IF('G2 MT Reading Scoresheet'!J57&lt;&gt;"",'G2 MT Reading Scoresheet'!J57,"")</f>
        <v/>
      </c>
      <c r="K57" s="267" t="str">
        <f>IF('G2 MT Reading Scoresheet'!K57&lt;&gt;"",'G2 MT Reading Scoresheet'!K57,"")</f>
        <v/>
      </c>
      <c r="L57" s="268" t="str">
        <f>IF('G2 MT Reading Scoresheet'!L57&lt;&gt;"",'G2 MT Reading Scoresheet'!L57,"")</f>
        <v/>
      </c>
      <c r="M57" s="118" t="str">
        <f>IF('G2 MT Reading Scoresheet'!M57&lt;&gt;"",'G2 MT Reading Scoresheet'!M57,"")</f>
        <v/>
      </c>
      <c r="N57" s="266" t="str">
        <f>IF('G2 MT Reading Scoresheet'!N57&lt;&gt;"",'G2 MT Reading Scoresheet'!N57,"")</f>
        <v/>
      </c>
      <c r="O57" s="266" t="str">
        <f>IF('G2 MT Reading Scoresheet'!O57&lt;&gt;"",'G2 MT Reading Scoresheet'!O57,"")</f>
        <v/>
      </c>
      <c r="P57" s="118" t="str">
        <f>IF('G2 MT Reading Scoresheet'!P57&lt;&gt;"",'G2 MT Reading Scoresheet'!P57,"")</f>
        <v/>
      </c>
      <c r="Q57" s="122" t="str">
        <f>IF('G2 MT Reading Scoresheet'!Q57&lt;&gt;"",'G2 MT Reading Scoresheet'!Q57,"")</f>
        <v/>
      </c>
      <c r="R57" s="266" t="str">
        <f>IF('G2 MT Reading Scoresheet'!R57&lt;&gt;"",'G2 MT Reading Scoresheet'!R57,"")</f>
        <v/>
      </c>
      <c r="S57" s="266" t="str">
        <f>IF('G2 MT Reading Scoresheet'!S57&lt;&gt;"",'G2 MT Reading Scoresheet'!S57,"")</f>
        <v/>
      </c>
      <c r="T57" s="269" t="str">
        <f>IF('G2 MT Reading Scoresheet'!T57&lt;&gt;"",'G2 MT Reading Scoresheet'!T57,"")</f>
        <v/>
      </c>
      <c r="U57" s="87" t="str">
        <f>IF('G2 MT Reading Scoresheet'!U57&lt;&gt;"",'G2 MT Reading Scoresheet'!U57,"")</f>
        <v/>
      </c>
      <c r="V57" s="270"/>
      <c r="Y57" s="218" t="str">
        <f t="shared" si="0"/>
        <v/>
      </c>
    </row>
    <row r="58" spans="1:25" ht="14.4" x14ac:dyDescent="0.3">
      <c r="A58" s="4">
        <v>48</v>
      </c>
      <c r="B58" s="118" t="str">
        <f>IF('G2 MT Reading Scoresheet'!B58&lt;&gt;"",'G2 MT Reading Scoresheet'!B58,"")</f>
        <v/>
      </c>
      <c r="C58" s="133" t="str">
        <f>IF('G2 MT Reading Scoresheet'!C58&lt;&gt;"",'G2 MT Reading Scoresheet'!C58,"")</f>
        <v/>
      </c>
      <c r="D58" s="134" t="str">
        <f>IF('G2 MT Reading Scoresheet'!D58&lt;&gt;"",'G2 MT Reading Scoresheet'!D58,"")</f>
        <v/>
      </c>
      <c r="E58" s="135" t="str">
        <f>IF('G2 MT Reading Scoresheet'!E58&lt;&gt;"",'G2 MT Reading Scoresheet'!E58,"")</f>
        <v/>
      </c>
      <c r="F58" s="261" t="str">
        <f>IF('G2 MT Reading Scoresheet'!F58&lt;&gt;"",'G2 MT Reading Scoresheet'!F58,"")</f>
        <v/>
      </c>
      <c r="G58" s="262" t="str">
        <f>IF('G2 MT Reading Scoresheet'!G58&lt;&gt;"",'G2 MT Reading Scoresheet'!G58,"")</f>
        <v/>
      </c>
      <c r="H58" s="81" t="str">
        <f>IF('G2 MT Reading Scoresheet'!H58&lt;&gt;"",'G2 MT Reading Scoresheet'!H58,"")</f>
        <v/>
      </c>
      <c r="I58" s="81" t="str">
        <f>IF('G2 MT Reading Scoresheet'!I58&lt;&gt;"",'G2 MT Reading Scoresheet'!I58,"")</f>
        <v/>
      </c>
      <c r="J58" s="82" t="str">
        <f>IF('G2 MT Reading Scoresheet'!J58&lt;&gt;"",'G2 MT Reading Scoresheet'!J58,"")</f>
        <v/>
      </c>
      <c r="K58" s="263" t="str">
        <f>IF('G2 MT Reading Scoresheet'!K58&lt;&gt;"",'G2 MT Reading Scoresheet'!K58,"")</f>
        <v/>
      </c>
      <c r="L58" s="87" t="str">
        <f>IF('G2 MT Reading Scoresheet'!L58&lt;&gt;"",'G2 MT Reading Scoresheet'!L58,"")</f>
        <v/>
      </c>
      <c r="M58" s="118" t="str">
        <f>IF('G2 MT Reading Scoresheet'!M58&lt;&gt;"",'G2 MT Reading Scoresheet'!M58,"")</f>
        <v/>
      </c>
      <c r="N58" s="81" t="str">
        <f>IF('G2 MT Reading Scoresheet'!N58&lt;&gt;"",'G2 MT Reading Scoresheet'!N58,"")</f>
        <v/>
      </c>
      <c r="O58" s="81" t="str">
        <f>IF('G2 MT Reading Scoresheet'!O58&lt;&gt;"",'G2 MT Reading Scoresheet'!O58,"")</f>
        <v/>
      </c>
      <c r="P58" s="118" t="str">
        <f>IF('G2 MT Reading Scoresheet'!P58&lt;&gt;"",'G2 MT Reading Scoresheet'!P58,"")</f>
        <v/>
      </c>
      <c r="Q58" s="122" t="str">
        <f>IF('G2 MT Reading Scoresheet'!Q58&lt;&gt;"",'G2 MT Reading Scoresheet'!Q58,"")</f>
        <v/>
      </c>
      <c r="R58" s="81" t="str">
        <f>IF('G2 MT Reading Scoresheet'!R58&lt;&gt;"",'G2 MT Reading Scoresheet'!R58,"")</f>
        <v/>
      </c>
      <c r="S58" s="81" t="str">
        <f>IF('G2 MT Reading Scoresheet'!S58&lt;&gt;"",'G2 MT Reading Scoresheet'!S58,"")</f>
        <v/>
      </c>
      <c r="T58" s="82" t="str">
        <f>IF('G2 MT Reading Scoresheet'!T58&lt;&gt;"",'G2 MT Reading Scoresheet'!T58,"")</f>
        <v/>
      </c>
      <c r="U58" s="87" t="str">
        <f>IF('G2 MT Reading Scoresheet'!U58&lt;&gt;"",'G2 MT Reading Scoresheet'!U58,"")</f>
        <v/>
      </c>
      <c r="V58" s="264"/>
      <c r="Y58" s="218" t="str">
        <f t="shared" si="0"/>
        <v/>
      </c>
    </row>
    <row r="59" spans="1:25" ht="14.4" x14ac:dyDescent="0.3">
      <c r="A59" s="5">
        <v>49</v>
      </c>
      <c r="B59" s="118" t="str">
        <f>IF('G2 MT Reading Scoresheet'!B59&lt;&gt;"",'G2 MT Reading Scoresheet'!B59,"")</f>
        <v/>
      </c>
      <c r="C59" s="133" t="str">
        <f>IF('G2 MT Reading Scoresheet'!C59&lt;&gt;"",'G2 MT Reading Scoresheet'!C59,"")</f>
        <v/>
      </c>
      <c r="D59" s="134" t="str">
        <f>IF('G2 MT Reading Scoresheet'!D59&lt;&gt;"",'G2 MT Reading Scoresheet'!D59,"")</f>
        <v/>
      </c>
      <c r="E59" s="135" t="str">
        <f>IF('G2 MT Reading Scoresheet'!E59&lt;&gt;"",'G2 MT Reading Scoresheet'!E59,"")</f>
        <v/>
      </c>
      <c r="F59" s="265" t="str">
        <f>IF('G2 MT Reading Scoresheet'!F59&lt;&gt;"",'G2 MT Reading Scoresheet'!F59,"")</f>
        <v/>
      </c>
      <c r="G59" s="255" t="str">
        <f>IF('G2 MT Reading Scoresheet'!G59&lt;&gt;"",'G2 MT Reading Scoresheet'!G59,"")</f>
        <v/>
      </c>
      <c r="H59" s="266" t="str">
        <f>IF('G2 MT Reading Scoresheet'!H59&lt;&gt;"",'G2 MT Reading Scoresheet'!H59,"")</f>
        <v/>
      </c>
      <c r="I59" s="81" t="str">
        <f>IF('G2 MT Reading Scoresheet'!I59&lt;&gt;"",'G2 MT Reading Scoresheet'!I59,"")</f>
        <v/>
      </c>
      <c r="J59" s="82" t="str">
        <f>IF('G2 MT Reading Scoresheet'!J59&lt;&gt;"",'G2 MT Reading Scoresheet'!J59,"")</f>
        <v/>
      </c>
      <c r="K59" s="267" t="str">
        <f>IF('G2 MT Reading Scoresheet'!K59&lt;&gt;"",'G2 MT Reading Scoresheet'!K59,"")</f>
        <v/>
      </c>
      <c r="L59" s="268" t="str">
        <f>IF('G2 MT Reading Scoresheet'!L59&lt;&gt;"",'G2 MT Reading Scoresheet'!L59,"")</f>
        <v/>
      </c>
      <c r="M59" s="118" t="str">
        <f>IF('G2 MT Reading Scoresheet'!M59&lt;&gt;"",'G2 MT Reading Scoresheet'!M59,"")</f>
        <v/>
      </c>
      <c r="N59" s="266" t="str">
        <f>IF('G2 MT Reading Scoresheet'!N59&lt;&gt;"",'G2 MT Reading Scoresheet'!N59,"")</f>
        <v/>
      </c>
      <c r="O59" s="266" t="str">
        <f>IF('G2 MT Reading Scoresheet'!O59&lt;&gt;"",'G2 MT Reading Scoresheet'!O59,"")</f>
        <v/>
      </c>
      <c r="P59" s="118" t="str">
        <f>IF('G2 MT Reading Scoresheet'!P59&lt;&gt;"",'G2 MT Reading Scoresheet'!P59,"")</f>
        <v/>
      </c>
      <c r="Q59" s="122" t="str">
        <f>IF('G2 MT Reading Scoresheet'!Q59&lt;&gt;"",'G2 MT Reading Scoresheet'!Q59,"")</f>
        <v/>
      </c>
      <c r="R59" s="266" t="str">
        <f>IF('G2 MT Reading Scoresheet'!R59&lt;&gt;"",'G2 MT Reading Scoresheet'!R59,"")</f>
        <v/>
      </c>
      <c r="S59" s="266" t="str">
        <f>IF('G2 MT Reading Scoresheet'!S59&lt;&gt;"",'G2 MT Reading Scoresheet'!S59,"")</f>
        <v/>
      </c>
      <c r="T59" s="269" t="str">
        <f>IF('G2 MT Reading Scoresheet'!T59&lt;&gt;"",'G2 MT Reading Scoresheet'!T59,"")</f>
        <v/>
      </c>
      <c r="U59" s="87" t="str">
        <f>IF('G2 MT Reading Scoresheet'!U59&lt;&gt;"",'G2 MT Reading Scoresheet'!U59,"")</f>
        <v/>
      </c>
      <c r="V59" s="270"/>
      <c r="Y59" s="218" t="str">
        <f t="shared" si="0"/>
        <v/>
      </c>
    </row>
    <row r="60" spans="1:25" ht="14.4" x14ac:dyDescent="0.3">
      <c r="A60" s="4">
        <v>50</v>
      </c>
      <c r="B60" s="118" t="str">
        <f>IF('G2 MT Reading Scoresheet'!B60&lt;&gt;"",'G2 MT Reading Scoresheet'!B60,"")</f>
        <v/>
      </c>
      <c r="C60" s="133" t="str">
        <f>IF('G2 MT Reading Scoresheet'!C60&lt;&gt;"",'G2 MT Reading Scoresheet'!C60,"")</f>
        <v/>
      </c>
      <c r="D60" s="134" t="str">
        <f>IF('G2 MT Reading Scoresheet'!D60&lt;&gt;"",'G2 MT Reading Scoresheet'!D60,"")</f>
        <v/>
      </c>
      <c r="E60" s="135" t="str">
        <f>IF('G2 MT Reading Scoresheet'!E60&lt;&gt;"",'G2 MT Reading Scoresheet'!E60,"")</f>
        <v/>
      </c>
      <c r="F60" s="261" t="str">
        <f>IF('G2 MT Reading Scoresheet'!F60&lt;&gt;"",'G2 MT Reading Scoresheet'!F60,"")</f>
        <v/>
      </c>
      <c r="G60" s="262" t="str">
        <f>IF('G2 MT Reading Scoresheet'!G60&lt;&gt;"",'G2 MT Reading Scoresheet'!G60,"")</f>
        <v/>
      </c>
      <c r="H60" s="81" t="str">
        <f>IF('G2 MT Reading Scoresheet'!H60&lt;&gt;"",'G2 MT Reading Scoresheet'!H60,"")</f>
        <v/>
      </c>
      <c r="I60" s="81" t="str">
        <f>IF('G2 MT Reading Scoresheet'!I60&lt;&gt;"",'G2 MT Reading Scoresheet'!I60,"")</f>
        <v/>
      </c>
      <c r="J60" s="82" t="str">
        <f>IF('G2 MT Reading Scoresheet'!J60&lt;&gt;"",'G2 MT Reading Scoresheet'!J60,"")</f>
        <v/>
      </c>
      <c r="K60" s="263" t="str">
        <f>IF('G2 MT Reading Scoresheet'!K60&lt;&gt;"",'G2 MT Reading Scoresheet'!K60,"")</f>
        <v/>
      </c>
      <c r="L60" s="87" t="str">
        <f>IF('G2 MT Reading Scoresheet'!L60&lt;&gt;"",'G2 MT Reading Scoresheet'!L60,"")</f>
        <v/>
      </c>
      <c r="M60" s="118" t="str">
        <f>IF('G2 MT Reading Scoresheet'!M60&lt;&gt;"",'G2 MT Reading Scoresheet'!M60,"")</f>
        <v/>
      </c>
      <c r="N60" s="81" t="str">
        <f>IF('G2 MT Reading Scoresheet'!N60&lt;&gt;"",'G2 MT Reading Scoresheet'!N60,"")</f>
        <v/>
      </c>
      <c r="O60" s="81" t="str">
        <f>IF('G2 MT Reading Scoresheet'!O60&lt;&gt;"",'G2 MT Reading Scoresheet'!O60,"")</f>
        <v/>
      </c>
      <c r="P60" s="118" t="str">
        <f>IF('G2 MT Reading Scoresheet'!P60&lt;&gt;"",'G2 MT Reading Scoresheet'!P60,"")</f>
        <v/>
      </c>
      <c r="Q60" s="122" t="str">
        <f>IF('G2 MT Reading Scoresheet'!Q60&lt;&gt;"",'G2 MT Reading Scoresheet'!Q60,"")</f>
        <v/>
      </c>
      <c r="R60" s="81" t="str">
        <f>IF('G2 MT Reading Scoresheet'!R60&lt;&gt;"",'G2 MT Reading Scoresheet'!R60,"")</f>
        <v/>
      </c>
      <c r="S60" s="81" t="str">
        <f>IF('G2 MT Reading Scoresheet'!S60&lt;&gt;"",'G2 MT Reading Scoresheet'!S60,"")</f>
        <v/>
      </c>
      <c r="T60" s="82" t="str">
        <f>IF('G2 MT Reading Scoresheet'!T60&lt;&gt;"",'G2 MT Reading Scoresheet'!T60,"")</f>
        <v/>
      </c>
      <c r="U60" s="87" t="str">
        <f>IF('G2 MT Reading Scoresheet'!U60&lt;&gt;"",'G2 MT Reading Scoresheet'!U60,"")</f>
        <v/>
      </c>
      <c r="V60" s="264"/>
      <c r="Y60" s="218" t="str">
        <f t="shared" si="0"/>
        <v/>
      </c>
    </row>
    <row r="61" spans="1:25" ht="14.4" x14ac:dyDescent="0.3">
      <c r="A61" s="5">
        <v>51</v>
      </c>
      <c r="B61" s="118" t="str">
        <f>IF('G2 MT Reading Scoresheet'!B61&lt;&gt;"",'G2 MT Reading Scoresheet'!B61,"")</f>
        <v/>
      </c>
      <c r="C61" s="133" t="str">
        <f>IF('G2 MT Reading Scoresheet'!C61&lt;&gt;"",'G2 MT Reading Scoresheet'!C61,"")</f>
        <v/>
      </c>
      <c r="D61" s="134" t="str">
        <f>IF('G2 MT Reading Scoresheet'!D61&lt;&gt;"",'G2 MT Reading Scoresheet'!D61,"")</f>
        <v/>
      </c>
      <c r="E61" s="135" t="str">
        <f>IF('G2 MT Reading Scoresheet'!E61&lt;&gt;"",'G2 MT Reading Scoresheet'!E61,"")</f>
        <v/>
      </c>
      <c r="F61" s="265" t="str">
        <f>IF('G2 MT Reading Scoresheet'!F61&lt;&gt;"",'G2 MT Reading Scoresheet'!F61,"")</f>
        <v/>
      </c>
      <c r="G61" s="255" t="str">
        <f>IF('G2 MT Reading Scoresheet'!G61&lt;&gt;"",'G2 MT Reading Scoresheet'!G61,"")</f>
        <v/>
      </c>
      <c r="H61" s="266" t="str">
        <f>IF('G2 MT Reading Scoresheet'!H61&lt;&gt;"",'G2 MT Reading Scoresheet'!H61,"")</f>
        <v/>
      </c>
      <c r="I61" s="81" t="str">
        <f>IF('G2 MT Reading Scoresheet'!I61&lt;&gt;"",'G2 MT Reading Scoresheet'!I61,"")</f>
        <v/>
      </c>
      <c r="J61" s="82" t="str">
        <f>IF('G2 MT Reading Scoresheet'!J61&lt;&gt;"",'G2 MT Reading Scoresheet'!J61,"")</f>
        <v/>
      </c>
      <c r="K61" s="267" t="str">
        <f>IF('G2 MT Reading Scoresheet'!K61&lt;&gt;"",'G2 MT Reading Scoresheet'!K61,"")</f>
        <v/>
      </c>
      <c r="L61" s="268" t="str">
        <f>IF('G2 MT Reading Scoresheet'!L61&lt;&gt;"",'G2 MT Reading Scoresheet'!L61,"")</f>
        <v/>
      </c>
      <c r="M61" s="118" t="str">
        <f>IF('G2 MT Reading Scoresheet'!M61&lt;&gt;"",'G2 MT Reading Scoresheet'!M61,"")</f>
        <v/>
      </c>
      <c r="N61" s="266" t="str">
        <f>IF('G2 MT Reading Scoresheet'!N61&lt;&gt;"",'G2 MT Reading Scoresheet'!N61,"")</f>
        <v/>
      </c>
      <c r="O61" s="266" t="str">
        <f>IF('G2 MT Reading Scoresheet'!O61&lt;&gt;"",'G2 MT Reading Scoresheet'!O61,"")</f>
        <v/>
      </c>
      <c r="P61" s="118" t="str">
        <f>IF('G2 MT Reading Scoresheet'!P61&lt;&gt;"",'G2 MT Reading Scoresheet'!P61,"")</f>
        <v/>
      </c>
      <c r="Q61" s="122" t="str">
        <f>IF('G2 MT Reading Scoresheet'!Q61&lt;&gt;"",'G2 MT Reading Scoresheet'!Q61,"")</f>
        <v/>
      </c>
      <c r="R61" s="266" t="str">
        <f>IF('G2 MT Reading Scoresheet'!R61&lt;&gt;"",'G2 MT Reading Scoresheet'!R61,"")</f>
        <v/>
      </c>
      <c r="S61" s="266" t="str">
        <f>IF('G2 MT Reading Scoresheet'!S61&lt;&gt;"",'G2 MT Reading Scoresheet'!S61,"")</f>
        <v/>
      </c>
      <c r="T61" s="269" t="str">
        <f>IF('G2 MT Reading Scoresheet'!T61&lt;&gt;"",'G2 MT Reading Scoresheet'!T61,"")</f>
        <v/>
      </c>
      <c r="U61" s="87" t="str">
        <f>IF('G2 MT Reading Scoresheet'!U61&lt;&gt;"",'G2 MT Reading Scoresheet'!U61,"")</f>
        <v/>
      </c>
      <c r="V61" s="270"/>
      <c r="Y61" s="218" t="str">
        <f t="shared" si="0"/>
        <v/>
      </c>
    </row>
    <row r="62" spans="1:25" ht="14.4" x14ac:dyDescent="0.3">
      <c r="A62" s="4">
        <v>52</v>
      </c>
      <c r="B62" s="118" t="str">
        <f>IF('G2 MT Reading Scoresheet'!B62&lt;&gt;"",'G2 MT Reading Scoresheet'!B62,"")</f>
        <v/>
      </c>
      <c r="C62" s="133" t="str">
        <f>IF('G2 MT Reading Scoresheet'!C62&lt;&gt;"",'G2 MT Reading Scoresheet'!C62,"")</f>
        <v/>
      </c>
      <c r="D62" s="134" t="str">
        <f>IF('G2 MT Reading Scoresheet'!D62&lt;&gt;"",'G2 MT Reading Scoresheet'!D62,"")</f>
        <v/>
      </c>
      <c r="E62" s="135" t="str">
        <f>IF('G2 MT Reading Scoresheet'!E62&lt;&gt;"",'G2 MT Reading Scoresheet'!E62,"")</f>
        <v/>
      </c>
      <c r="F62" s="261" t="str">
        <f>IF('G2 MT Reading Scoresheet'!F62&lt;&gt;"",'G2 MT Reading Scoresheet'!F62,"")</f>
        <v/>
      </c>
      <c r="G62" s="262" t="str">
        <f>IF('G2 MT Reading Scoresheet'!G62&lt;&gt;"",'G2 MT Reading Scoresheet'!G62,"")</f>
        <v/>
      </c>
      <c r="H62" s="81" t="str">
        <f>IF('G2 MT Reading Scoresheet'!H62&lt;&gt;"",'G2 MT Reading Scoresheet'!H62,"")</f>
        <v/>
      </c>
      <c r="I62" s="81" t="str">
        <f>IF('G2 MT Reading Scoresheet'!I62&lt;&gt;"",'G2 MT Reading Scoresheet'!I62,"")</f>
        <v/>
      </c>
      <c r="J62" s="82" t="str">
        <f>IF('G2 MT Reading Scoresheet'!J62&lt;&gt;"",'G2 MT Reading Scoresheet'!J62,"")</f>
        <v/>
      </c>
      <c r="K62" s="263" t="str">
        <f>IF('G2 MT Reading Scoresheet'!K62&lt;&gt;"",'G2 MT Reading Scoresheet'!K62,"")</f>
        <v/>
      </c>
      <c r="L62" s="87" t="str">
        <f>IF('G2 MT Reading Scoresheet'!L62&lt;&gt;"",'G2 MT Reading Scoresheet'!L62,"")</f>
        <v/>
      </c>
      <c r="M62" s="118" t="str">
        <f>IF('G2 MT Reading Scoresheet'!M62&lt;&gt;"",'G2 MT Reading Scoresheet'!M62,"")</f>
        <v/>
      </c>
      <c r="N62" s="81" t="str">
        <f>IF('G2 MT Reading Scoresheet'!N62&lt;&gt;"",'G2 MT Reading Scoresheet'!N62,"")</f>
        <v/>
      </c>
      <c r="O62" s="81" t="str">
        <f>IF('G2 MT Reading Scoresheet'!O62&lt;&gt;"",'G2 MT Reading Scoresheet'!O62,"")</f>
        <v/>
      </c>
      <c r="P62" s="118" t="str">
        <f>IF('G2 MT Reading Scoresheet'!P62&lt;&gt;"",'G2 MT Reading Scoresheet'!P62,"")</f>
        <v/>
      </c>
      <c r="Q62" s="122" t="str">
        <f>IF('G2 MT Reading Scoresheet'!Q62&lt;&gt;"",'G2 MT Reading Scoresheet'!Q62,"")</f>
        <v/>
      </c>
      <c r="R62" s="81" t="str">
        <f>IF('G2 MT Reading Scoresheet'!R62&lt;&gt;"",'G2 MT Reading Scoresheet'!R62,"")</f>
        <v/>
      </c>
      <c r="S62" s="81" t="str">
        <f>IF('G2 MT Reading Scoresheet'!S62&lt;&gt;"",'G2 MT Reading Scoresheet'!S62,"")</f>
        <v/>
      </c>
      <c r="T62" s="82" t="str">
        <f>IF('G2 MT Reading Scoresheet'!T62&lt;&gt;"",'G2 MT Reading Scoresheet'!T62,"")</f>
        <v/>
      </c>
      <c r="U62" s="87" t="str">
        <f>IF('G2 MT Reading Scoresheet'!U62&lt;&gt;"",'G2 MT Reading Scoresheet'!U62,"")</f>
        <v/>
      </c>
      <c r="V62" s="264"/>
      <c r="Y62" s="218" t="str">
        <f t="shared" si="0"/>
        <v/>
      </c>
    </row>
    <row r="63" spans="1:25" ht="14.4" x14ac:dyDescent="0.3">
      <c r="A63" s="5">
        <v>53</v>
      </c>
      <c r="B63" s="118" t="str">
        <f>IF('G2 MT Reading Scoresheet'!B63&lt;&gt;"",'G2 MT Reading Scoresheet'!B63,"")</f>
        <v/>
      </c>
      <c r="C63" s="133" t="str">
        <f>IF('G2 MT Reading Scoresheet'!C63&lt;&gt;"",'G2 MT Reading Scoresheet'!C63,"")</f>
        <v/>
      </c>
      <c r="D63" s="134" t="str">
        <f>IF('G2 MT Reading Scoresheet'!D63&lt;&gt;"",'G2 MT Reading Scoresheet'!D63,"")</f>
        <v/>
      </c>
      <c r="E63" s="135" t="str">
        <f>IF('G2 MT Reading Scoresheet'!E63&lt;&gt;"",'G2 MT Reading Scoresheet'!E63,"")</f>
        <v/>
      </c>
      <c r="F63" s="265" t="str">
        <f>IF('G2 MT Reading Scoresheet'!F63&lt;&gt;"",'G2 MT Reading Scoresheet'!F63,"")</f>
        <v/>
      </c>
      <c r="G63" s="255" t="str">
        <f>IF('G2 MT Reading Scoresheet'!G63&lt;&gt;"",'G2 MT Reading Scoresheet'!G63,"")</f>
        <v/>
      </c>
      <c r="H63" s="266" t="str">
        <f>IF('G2 MT Reading Scoresheet'!H63&lt;&gt;"",'G2 MT Reading Scoresheet'!H63,"")</f>
        <v/>
      </c>
      <c r="I63" s="81" t="str">
        <f>IF('G2 MT Reading Scoresheet'!I63&lt;&gt;"",'G2 MT Reading Scoresheet'!I63,"")</f>
        <v/>
      </c>
      <c r="J63" s="82" t="str">
        <f>IF('G2 MT Reading Scoresheet'!J63&lt;&gt;"",'G2 MT Reading Scoresheet'!J63,"")</f>
        <v/>
      </c>
      <c r="K63" s="267" t="str">
        <f>IF('G2 MT Reading Scoresheet'!K63&lt;&gt;"",'G2 MT Reading Scoresheet'!K63,"")</f>
        <v/>
      </c>
      <c r="L63" s="268" t="str">
        <f>IF('G2 MT Reading Scoresheet'!L63&lt;&gt;"",'G2 MT Reading Scoresheet'!L63,"")</f>
        <v/>
      </c>
      <c r="M63" s="118" t="str">
        <f>IF('G2 MT Reading Scoresheet'!M63&lt;&gt;"",'G2 MT Reading Scoresheet'!M63,"")</f>
        <v/>
      </c>
      <c r="N63" s="266" t="str">
        <f>IF('G2 MT Reading Scoresheet'!N63&lt;&gt;"",'G2 MT Reading Scoresheet'!N63,"")</f>
        <v/>
      </c>
      <c r="O63" s="266" t="str">
        <f>IF('G2 MT Reading Scoresheet'!O63&lt;&gt;"",'G2 MT Reading Scoresheet'!O63,"")</f>
        <v/>
      </c>
      <c r="P63" s="118" t="str">
        <f>IF('G2 MT Reading Scoresheet'!P63&lt;&gt;"",'G2 MT Reading Scoresheet'!P63,"")</f>
        <v/>
      </c>
      <c r="Q63" s="122" t="str">
        <f>IF('G2 MT Reading Scoresheet'!Q63&lt;&gt;"",'G2 MT Reading Scoresheet'!Q63,"")</f>
        <v/>
      </c>
      <c r="R63" s="266" t="str">
        <f>IF('G2 MT Reading Scoresheet'!R63&lt;&gt;"",'G2 MT Reading Scoresheet'!R63,"")</f>
        <v/>
      </c>
      <c r="S63" s="266" t="str">
        <f>IF('G2 MT Reading Scoresheet'!S63&lt;&gt;"",'G2 MT Reading Scoresheet'!S63,"")</f>
        <v/>
      </c>
      <c r="T63" s="269" t="str">
        <f>IF('G2 MT Reading Scoresheet'!T63&lt;&gt;"",'G2 MT Reading Scoresheet'!T63,"")</f>
        <v/>
      </c>
      <c r="U63" s="87" t="str">
        <f>IF('G2 MT Reading Scoresheet'!U63&lt;&gt;"",'G2 MT Reading Scoresheet'!U63,"")</f>
        <v/>
      </c>
      <c r="V63" s="270"/>
      <c r="Y63" s="218" t="str">
        <f t="shared" si="0"/>
        <v/>
      </c>
    </row>
    <row r="64" spans="1:25" ht="14.4" x14ac:dyDescent="0.3">
      <c r="A64" s="4">
        <v>54</v>
      </c>
      <c r="B64" s="118" t="str">
        <f>IF('G2 MT Reading Scoresheet'!B64&lt;&gt;"",'G2 MT Reading Scoresheet'!B64,"")</f>
        <v/>
      </c>
      <c r="C64" s="133" t="str">
        <f>IF('G2 MT Reading Scoresheet'!C64&lt;&gt;"",'G2 MT Reading Scoresheet'!C64,"")</f>
        <v/>
      </c>
      <c r="D64" s="134" t="str">
        <f>IF('G2 MT Reading Scoresheet'!D64&lt;&gt;"",'G2 MT Reading Scoresheet'!D64,"")</f>
        <v/>
      </c>
      <c r="E64" s="135" t="str">
        <f>IF('G2 MT Reading Scoresheet'!E64&lt;&gt;"",'G2 MT Reading Scoresheet'!E64,"")</f>
        <v/>
      </c>
      <c r="F64" s="261" t="str">
        <f>IF('G2 MT Reading Scoresheet'!F64&lt;&gt;"",'G2 MT Reading Scoresheet'!F64,"")</f>
        <v/>
      </c>
      <c r="G64" s="262" t="str">
        <f>IF('G2 MT Reading Scoresheet'!G64&lt;&gt;"",'G2 MT Reading Scoresheet'!G64,"")</f>
        <v/>
      </c>
      <c r="H64" s="81" t="str">
        <f>IF('G2 MT Reading Scoresheet'!H64&lt;&gt;"",'G2 MT Reading Scoresheet'!H64,"")</f>
        <v/>
      </c>
      <c r="I64" s="81" t="str">
        <f>IF('G2 MT Reading Scoresheet'!I64&lt;&gt;"",'G2 MT Reading Scoresheet'!I64,"")</f>
        <v/>
      </c>
      <c r="J64" s="82" t="str">
        <f>IF('G2 MT Reading Scoresheet'!J64&lt;&gt;"",'G2 MT Reading Scoresheet'!J64,"")</f>
        <v/>
      </c>
      <c r="K64" s="263" t="str">
        <f>IF('G2 MT Reading Scoresheet'!K64&lt;&gt;"",'G2 MT Reading Scoresheet'!K64,"")</f>
        <v/>
      </c>
      <c r="L64" s="87" t="str">
        <f>IF('G2 MT Reading Scoresheet'!L64&lt;&gt;"",'G2 MT Reading Scoresheet'!L64,"")</f>
        <v/>
      </c>
      <c r="M64" s="118" t="str">
        <f>IF('G2 MT Reading Scoresheet'!M64&lt;&gt;"",'G2 MT Reading Scoresheet'!M64,"")</f>
        <v/>
      </c>
      <c r="N64" s="81" t="str">
        <f>IF('G2 MT Reading Scoresheet'!N64&lt;&gt;"",'G2 MT Reading Scoresheet'!N64,"")</f>
        <v/>
      </c>
      <c r="O64" s="81" t="str">
        <f>IF('G2 MT Reading Scoresheet'!O64&lt;&gt;"",'G2 MT Reading Scoresheet'!O64,"")</f>
        <v/>
      </c>
      <c r="P64" s="118" t="str">
        <f>IF('G2 MT Reading Scoresheet'!P64&lt;&gt;"",'G2 MT Reading Scoresheet'!P64,"")</f>
        <v/>
      </c>
      <c r="Q64" s="122" t="str">
        <f>IF('G2 MT Reading Scoresheet'!Q64&lt;&gt;"",'G2 MT Reading Scoresheet'!Q64,"")</f>
        <v/>
      </c>
      <c r="R64" s="81" t="str">
        <f>IF('G2 MT Reading Scoresheet'!R64&lt;&gt;"",'G2 MT Reading Scoresheet'!R64,"")</f>
        <v/>
      </c>
      <c r="S64" s="81" t="str">
        <f>IF('G2 MT Reading Scoresheet'!S64&lt;&gt;"",'G2 MT Reading Scoresheet'!S64,"")</f>
        <v/>
      </c>
      <c r="T64" s="82" t="str">
        <f>IF('G2 MT Reading Scoresheet'!T64&lt;&gt;"",'G2 MT Reading Scoresheet'!T64,"")</f>
        <v/>
      </c>
      <c r="U64" s="87" t="str">
        <f>IF('G2 MT Reading Scoresheet'!U64&lt;&gt;"",'G2 MT Reading Scoresheet'!U64,"")</f>
        <v/>
      </c>
      <c r="V64" s="264"/>
      <c r="Y64" s="218" t="str">
        <f t="shared" si="0"/>
        <v/>
      </c>
    </row>
    <row r="65" spans="1:25" ht="14.4" x14ac:dyDescent="0.3">
      <c r="A65" s="5">
        <v>55</v>
      </c>
      <c r="B65" s="118" t="str">
        <f>IF('G2 MT Reading Scoresheet'!B65&lt;&gt;"",'G2 MT Reading Scoresheet'!B65,"")</f>
        <v/>
      </c>
      <c r="C65" s="133" t="str">
        <f>IF('G2 MT Reading Scoresheet'!C65&lt;&gt;"",'G2 MT Reading Scoresheet'!C65,"")</f>
        <v/>
      </c>
      <c r="D65" s="134" t="str">
        <f>IF('G2 MT Reading Scoresheet'!D65&lt;&gt;"",'G2 MT Reading Scoresheet'!D65,"")</f>
        <v/>
      </c>
      <c r="E65" s="135" t="str">
        <f>IF('G2 MT Reading Scoresheet'!E65&lt;&gt;"",'G2 MT Reading Scoresheet'!E65,"")</f>
        <v/>
      </c>
      <c r="F65" s="265" t="str">
        <f>IF('G2 MT Reading Scoresheet'!F65&lt;&gt;"",'G2 MT Reading Scoresheet'!F65,"")</f>
        <v/>
      </c>
      <c r="G65" s="255" t="str">
        <f>IF('G2 MT Reading Scoresheet'!G65&lt;&gt;"",'G2 MT Reading Scoresheet'!G65,"")</f>
        <v/>
      </c>
      <c r="H65" s="266" t="str">
        <f>IF('G2 MT Reading Scoresheet'!H65&lt;&gt;"",'G2 MT Reading Scoresheet'!H65,"")</f>
        <v/>
      </c>
      <c r="I65" s="81" t="str">
        <f>IF('G2 MT Reading Scoresheet'!I65&lt;&gt;"",'G2 MT Reading Scoresheet'!I65,"")</f>
        <v/>
      </c>
      <c r="J65" s="82" t="str">
        <f>IF('G2 MT Reading Scoresheet'!J65&lt;&gt;"",'G2 MT Reading Scoresheet'!J65,"")</f>
        <v/>
      </c>
      <c r="K65" s="267" t="str">
        <f>IF('G2 MT Reading Scoresheet'!K65&lt;&gt;"",'G2 MT Reading Scoresheet'!K65,"")</f>
        <v/>
      </c>
      <c r="L65" s="268" t="str">
        <f>IF('G2 MT Reading Scoresheet'!L65&lt;&gt;"",'G2 MT Reading Scoresheet'!L65,"")</f>
        <v/>
      </c>
      <c r="M65" s="118" t="str">
        <f>IF('G2 MT Reading Scoresheet'!M65&lt;&gt;"",'G2 MT Reading Scoresheet'!M65,"")</f>
        <v/>
      </c>
      <c r="N65" s="266" t="str">
        <f>IF('G2 MT Reading Scoresheet'!N65&lt;&gt;"",'G2 MT Reading Scoresheet'!N65,"")</f>
        <v/>
      </c>
      <c r="O65" s="266" t="str">
        <f>IF('G2 MT Reading Scoresheet'!O65&lt;&gt;"",'G2 MT Reading Scoresheet'!O65,"")</f>
        <v/>
      </c>
      <c r="P65" s="118" t="str">
        <f>IF('G2 MT Reading Scoresheet'!P65&lt;&gt;"",'G2 MT Reading Scoresheet'!P65,"")</f>
        <v/>
      </c>
      <c r="Q65" s="122" t="str">
        <f>IF('G2 MT Reading Scoresheet'!Q65&lt;&gt;"",'G2 MT Reading Scoresheet'!Q65,"")</f>
        <v/>
      </c>
      <c r="R65" s="266" t="str">
        <f>IF('G2 MT Reading Scoresheet'!R65&lt;&gt;"",'G2 MT Reading Scoresheet'!R65,"")</f>
        <v/>
      </c>
      <c r="S65" s="266" t="str">
        <f>IF('G2 MT Reading Scoresheet'!S65&lt;&gt;"",'G2 MT Reading Scoresheet'!S65,"")</f>
        <v/>
      </c>
      <c r="T65" s="269" t="str">
        <f>IF('G2 MT Reading Scoresheet'!T65&lt;&gt;"",'G2 MT Reading Scoresheet'!T65,"")</f>
        <v/>
      </c>
      <c r="U65" s="87" t="str">
        <f>IF('G2 MT Reading Scoresheet'!U65&lt;&gt;"",'G2 MT Reading Scoresheet'!U65,"")</f>
        <v/>
      </c>
      <c r="V65" s="270"/>
      <c r="Y65" s="218" t="str">
        <f t="shared" si="0"/>
        <v/>
      </c>
    </row>
    <row r="66" spans="1:25" ht="14.4" x14ac:dyDescent="0.3">
      <c r="A66" s="4">
        <v>56</v>
      </c>
      <c r="B66" s="118" t="str">
        <f>IF('G2 MT Reading Scoresheet'!B66&lt;&gt;"",'G2 MT Reading Scoresheet'!B66,"")</f>
        <v/>
      </c>
      <c r="C66" s="133" t="str">
        <f>IF('G2 MT Reading Scoresheet'!C66&lt;&gt;"",'G2 MT Reading Scoresheet'!C66,"")</f>
        <v/>
      </c>
      <c r="D66" s="134" t="str">
        <f>IF('G2 MT Reading Scoresheet'!D66&lt;&gt;"",'G2 MT Reading Scoresheet'!D66,"")</f>
        <v/>
      </c>
      <c r="E66" s="135" t="str">
        <f>IF('G2 MT Reading Scoresheet'!E66&lt;&gt;"",'G2 MT Reading Scoresheet'!E66,"")</f>
        <v/>
      </c>
      <c r="F66" s="261" t="str">
        <f>IF('G2 MT Reading Scoresheet'!F66&lt;&gt;"",'G2 MT Reading Scoresheet'!F66,"")</f>
        <v/>
      </c>
      <c r="G66" s="262" t="str">
        <f>IF('G2 MT Reading Scoresheet'!G66&lt;&gt;"",'G2 MT Reading Scoresheet'!G66,"")</f>
        <v/>
      </c>
      <c r="H66" s="81" t="str">
        <f>IF('G2 MT Reading Scoresheet'!H66&lt;&gt;"",'G2 MT Reading Scoresheet'!H66,"")</f>
        <v/>
      </c>
      <c r="I66" s="81" t="str">
        <f>IF('G2 MT Reading Scoresheet'!I66&lt;&gt;"",'G2 MT Reading Scoresheet'!I66,"")</f>
        <v/>
      </c>
      <c r="J66" s="82" t="str">
        <f>IF('G2 MT Reading Scoresheet'!J66&lt;&gt;"",'G2 MT Reading Scoresheet'!J66,"")</f>
        <v/>
      </c>
      <c r="K66" s="263" t="str">
        <f>IF('G2 MT Reading Scoresheet'!K66&lt;&gt;"",'G2 MT Reading Scoresheet'!K66,"")</f>
        <v/>
      </c>
      <c r="L66" s="87" t="str">
        <f>IF('G2 MT Reading Scoresheet'!L66&lt;&gt;"",'G2 MT Reading Scoresheet'!L66,"")</f>
        <v/>
      </c>
      <c r="M66" s="118" t="str">
        <f>IF('G2 MT Reading Scoresheet'!M66&lt;&gt;"",'G2 MT Reading Scoresheet'!M66,"")</f>
        <v/>
      </c>
      <c r="N66" s="81" t="str">
        <f>IF('G2 MT Reading Scoresheet'!N66&lt;&gt;"",'G2 MT Reading Scoresheet'!N66,"")</f>
        <v/>
      </c>
      <c r="O66" s="81" t="str">
        <f>IF('G2 MT Reading Scoresheet'!O66&lt;&gt;"",'G2 MT Reading Scoresheet'!O66,"")</f>
        <v/>
      </c>
      <c r="P66" s="118" t="str">
        <f>IF('G2 MT Reading Scoresheet'!P66&lt;&gt;"",'G2 MT Reading Scoresheet'!P66,"")</f>
        <v/>
      </c>
      <c r="Q66" s="122" t="str">
        <f>IF('G2 MT Reading Scoresheet'!Q66&lt;&gt;"",'G2 MT Reading Scoresheet'!Q66,"")</f>
        <v/>
      </c>
      <c r="R66" s="81" t="str">
        <f>IF('G2 MT Reading Scoresheet'!R66&lt;&gt;"",'G2 MT Reading Scoresheet'!R66,"")</f>
        <v/>
      </c>
      <c r="S66" s="81" t="str">
        <f>IF('G2 MT Reading Scoresheet'!S66&lt;&gt;"",'G2 MT Reading Scoresheet'!S66,"")</f>
        <v/>
      </c>
      <c r="T66" s="82" t="str">
        <f>IF('G2 MT Reading Scoresheet'!T66&lt;&gt;"",'G2 MT Reading Scoresheet'!T66,"")</f>
        <v/>
      </c>
      <c r="U66" s="87" t="str">
        <f>IF('G2 MT Reading Scoresheet'!U66&lt;&gt;"",'G2 MT Reading Scoresheet'!U66,"")</f>
        <v/>
      </c>
      <c r="V66" s="264"/>
      <c r="Y66" s="218" t="str">
        <f t="shared" si="0"/>
        <v/>
      </c>
    </row>
    <row r="67" spans="1:25" ht="14.4" x14ac:dyDescent="0.3">
      <c r="A67" s="5">
        <v>57</v>
      </c>
      <c r="B67" s="118" t="str">
        <f>IF('G2 MT Reading Scoresheet'!B67&lt;&gt;"",'G2 MT Reading Scoresheet'!B67,"")</f>
        <v/>
      </c>
      <c r="C67" s="133" t="str">
        <f>IF('G2 MT Reading Scoresheet'!C67&lt;&gt;"",'G2 MT Reading Scoresheet'!C67,"")</f>
        <v/>
      </c>
      <c r="D67" s="134" t="str">
        <f>IF('G2 MT Reading Scoresheet'!D67&lt;&gt;"",'G2 MT Reading Scoresheet'!D67,"")</f>
        <v/>
      </c>
      <c r="E67" s="135" t="str">
        <f>IF('G2 MT Reading Scoresheet'!E67&lt;&gt;"",'G2 MT Reading Scoresheet'!E67,"")</f>
        <v/>
      </c>
      <c r="F67" s="265" t="str">
        <f>IF('G2 MT Reading Scoresheet'!F67&lt;&gt;"",'G2 MT Reading Scoresheet'!F67,"")</f>
        <v/>
      </c>
      <c r="G67" s="255" t="str">
        <f>IF('G2 MT Reading Scoresheet'!G67&lt;&gt;"",'G2 MT Reading Scoresheet'!G67,"")</f>
        <v/>
      </c>
      <c r="H67" s="266" t="str">
        <f>IF('G2 MT Reading Scoresheet'!H67&lt;&gt;"",'G2 MT Reading Scoresheet'!H67,"")</f>
        <v/>
      </c>
      <c r="I67" s="81" t="str">
        <f>IF('G2 MT Reading Scoresheet'!I67&lt;&gt;"",'G2 MT Reading Scoresheet'!I67,"")</f>
        <v/>
      </c>
      <c r="J67" s="82" t="str">
        <f>IF('G2 MT Reading Scoresheet'!J67&lt;&gt;"",'G2 MT Reading Scoresheet'!J67,"")</f>
        <v/>
      </c>
      <c r="K67" s="267" t="str">
        <f>IF('G2 MT Reading Scoresheet'!K67&lt;&gt;"",'G2 MT Reading Scoresheet'!K67,"")</f>
        <v/>
      </c>
      <c r="L67" s="268" t="str">
        <f>IF('G2 MT Reading Scoresheet'!L67&lt;&gt;"",'G2 MT Reading Scoresheet'!L67,"")</f>
        <v/>
      </c>
      <c r="M67" s="118" t="str">
        <f>IF('G2 MT Reading Scoresheet'!M67&lt;&gt;"",'G2 MT Reading Scoresheet'!M67,"")</f>
        <v/>
      </c>
      <c r="N67" s="266" t="str">
        <f>IF('G2 MT Reading Scoresheet'!N67&lt;&gt;"",'G2 MT Reading Scoresheet'!N67,"")</f>
        <v/>
      </c>
      <c r="O67" s="266" t="str">
        <f>IF('G2 MT Reading Scoresheet'!O67&lt;&gt;"",'G2 MT Reading Scoresheet'!O67,"")</f>
        <v/>
      </c>
      <c r="P67" s="118" t="str">
        <f>IF('G2 MT Reading Scoresheet'!P67&lt;&gt;"",'G2 MT Reading Scoresheet'!P67,"")</f>
        <v/>
      </c>
      <c r="Q67" s="122" t="str">
        <f>IF('G2 MT Reading Scoresheet'!Q67&lt;&gt;"",'G2 MT Reading Scoresheet'!Q67,"")</f>
        <v/>
      </c>
      <c r="R67" s="266" t="str">
        <f>IF('G2 MT Reading Scoresheet'!R67&lt;&gt;"",'G2 MT Reading Scoresheet'!R67,"")</f>
        <v/>
      </c>
      <c r="S67" s="266" t="str">
        <f>IF('G2 MT Reading Scoresheet'!S67&lt;&gt;"",'G2 MT Reading Scoresheet'!S67,"")</f>
        <v/>
      </c>
      <c r="T67" s="269" t="str">
        <f>IF('G2 MT Reading Scoresheet'!T67&lt;&gt;"",'G2 MT Reading Scoresheet'!T67,"")</f>
        <v/>
      </c>
      <c r="U67" s="87" t="str">
        <f>IF('G2 MT Reading Scoresheet'!U67&lt;&gt;"",'G2 MT Reading Scoresheet'!U67,"")</f>
        <v/>
      </c>
      <c r="V67" s="270"/>
      <c r="Y67" s="218" t="str">
        <f t="shared" si="0"/>
        <v/>
      </c>
    </row>
    <row r="68" spans="1:25" ht="14.4" x14ac:dyDescent="0.3">
      <c r="A68" s="4">
        <v>58</v>
      </c>
      <c r="B68" s="118" t="str">
        <f>IF('G2 MT Reading Scoresheet'!B68&lt;&gt;"",'G2 MT Reading Scoresheet'!B68,"")</f>
        <v/>
      </c>
      <c r="C68" s="133" t="str">
        <f>IF('G2 MT Reading Scoresheet'!C68&lt;&gt;"",'G2 MT Reading Scoresheet'!C68,"")</f>
        <v/>
      </c>
      <c r="D68" s="134" t="str">
        <f>IF('G2 MT Reading Scoresheet'!D68&lt;&gt;"",'G2 MT Reading Scoresheet'!D68,"")</f>
        <v/>
      </c>
      <c r="E68" s="135" t="str">
        <f>IF('G2 MT Reading Scoresheet'!E68&lt;&gt;"",'G2 MT Reading Scoresheet'!E68,"")</f>
        <v/>
      </c>
      <c r="F68" s="261" t="str">
        <f>IF('G2 MT Reading Scoresheet'!F68&lt;&gt;"",'G2 MT Reading Scoresheet'!F68,"")</f>
        <v/>
      </c>
      <c r="G68" s="262" t="str">
        <f>IF('G2 MT Reading Scoresheet'!G68&lt;&gt;"",'G2 MT Reading Scoresheet'!G68,"")</f>
        <v/>
      </c>
      <c r="H68" s="81" t="str">
        <f>IF('G2 MT Reading Scoresheet'!H68&lt;&gt;"",'G2 MT Reading Scoresheet'!H68,"")</f>
        <v/>
      </c>
      <c r="I68" s="81" t="str">
        <f>IF('G2 MT Reading Scoresheet'!I68&lt;&gt;"",'G2 MT Reading Scoresheet'!I68,"")</f>
        <v/>
      </c>
      <c r="J68" s="82" t="str">
        <f>IF('G2 MT Reading Scoresheet'!J68&lt;&gt;"",'G2 MT Reading Scoresheet'!J68,"")</f>
        <v/>
      </c>
      <c r="K68" s="263" t="str">
        <f>IF('G2 MT Reading Scoresheet'!K68&lt;&gt;"",'G2 MT Reading Scoresheet'!K68,"")</f>
        <v/>
      </c>
      <c r="L68" s="87" t="str">
        <f>IF('G2 MT Reading Scoresheet'!L68&lt;&gt;"",'G2 MT Reading Scoresheet'!L68,"")</f>
        <v/>
      </c>
      <c r="M68" s="118" t="str">
        <f>IF('G2 MT Reading Scoresheet'!M68&lt;&gt;"",'G2 MT Reading Scoresheet'!M68,"")</f>
        <v/>
      </c>
      <c r="N68" s="81" t="str">
        <f>IF('G2 MT Reading Scoresheet'!N68&lt;&gt;"",'G2 MT Reading Scoresheet'!N68,"")</f>
        <v/>
      </c>
      <c r="O68" s="81" t="str">
        <f>IF('G2 MT Reading Scoresheet'!O68&lt;&gt;"",'G2 MT Reading Scoresheet'!O68,"")</f>
        <v/>
      </c>
      <c r="P68" s="118" t="str">
        <f>IF('G2 MT Reading Scoresheet'!P68&lt;&gt;"",'G2 MT Reading Scoresheet'!P68,"")</f>
        <v/>
      </c>
      <c r="Q68" s="122" t="str">
        <f>IF('G2 MT Reading Scoresheet'!Q68&lt;&gt;"",'G2 MT Reading Scoresheet'!Q68,"")</f>
        <v/>
      </c>
      <c r="R68" s="81" t="str">
        <f>IF('G2 MT Reading Scoresheet'!R68&lt;&gt;"",'G2 MT Reading Scoresheet'!R68,"")</f>
        <v/>
      </c>
      <c r="S68" s="81" t="str">
        <f>IF('G2 MT Reading Scoresheet'!S68&lt;&gt;"",'G2 MT Reading Scoresheet'!S68,"")</f>
        <v/>
      </c>
      <c r="T68" s="82" t="str">
        <f>IF('G2 MT Reading Scoresheet'!T68&lt;&gt;"",'G2 MT Reading Scoresheet'!T68,"")</f>
        <v/>
      </c>
      <c r="U68" s="87" t="str">
        <f>IF('G2 MT Reading Scoresheet'!U68&lt;&gt;"",'G2 MT Reading Scoresheet'!U68,"")</f>
        <v/>
      </c>
      <c r="V68" s="264"/>
      <c r="Y68" s="218" t="str">
        <f t="shared" si="0"/>
        <v/>
      </c>
    </row>
    <row r="69" spans="1:25" ht="14.4" x14ac:dyDescent="0.3">
      <c r="A69" s="5">
        <v>59</v>
      </c>
      <c r="B69" s="118" t="str">
        <f>IF('G2 MT Reading Scoresheet'!B69&lt;&gt;"",'G2 MT Reading Scoresheet'!B69,"")</f>
        <v/>
      </c>
      <c r="C69" s="133" t="str">
        <f>IF('G2 MT Reading Scoresheet'!C69&lt;&gt;"",'G2 MT Reading Scoresheet'!C69,"")</f>
        <v/>
      </c>
      <c r="D69" s="134" t="str">
        <f>IF('G2 MT Reading Scoresheet'!D69&lt;&gt;"",'G2 MT Reading Scoresheet'!D69,"")</f>
        <v/>
      </c>
      <c r="E69" s="135" t="str">
        <f>IF('G2 MT Reading Scoresheet'!E69&lt;&gt;"",'G2 MT Reading Scoresheet'!E69,"")</f>
        <v/>
      </c>
      <c r="F69" s="265" t="str">
        <f>IF('G2 MT Reading Scoresheet'!F69&lt;&gt;"",'G2 MT Reading Scoresheet'!F69,"")</f>
        <v/>
      </c>
      <c r="G69" s="255" t="str">
        <f>IF('G2 MT Reading Scoresheet'!G69&lt;&gt;"",'G2 MT Reading Scoresheet'!G69,"")</f>
        <v/>
      </c>
      <c r="H69" s="266" t="str">
        <f>IF('G2 MT Reading Scoresheet'!H69&lt;&gt;"",'G2 MT Reading Scoresheet'!H69,"")</f>
        <v/>
      </c>
      <c r="I69" s="81" t="str">
        <f>IF('G2 MT Reading Scoresheet'!I69&lt;&gt;"",'G2 MT Reading Scoresheet'!I69,"")</f>
        <v/>
      </c>
      <c r="J69" s="82" t="str">
        <f>IF('G2 MT Reading Scoresheet'!J69&lt;&gt;"",'G2 MT Reading Scoresheet'!J69,"")</f>
        <v/>
      </c>
      <c r="K69" s="267" t="str">
        <f>IF('G2 MT Reading Scoresheet'!K69&lt;&gt;"",'G2 MT Reading Scoresheet'!K69,"")</f>
        <v/>
      </c>
      <c r="L69" s="268" t="str">
        <f>IF('G2 MT Reading Scoresheet'!L69&lt;&gt;"",'G2 MT Reading Scoresheet'!L69,"")</f>
        <v/>
      </c>
      <c r="M69" s="118" t="str">
        <f>IF('G2 MT Reading Scoresheet'!M69&lt;&gt;"",'G2 MT Reading Scoresheet'!M69,"")</f>
        <v/>
      </c>
      <c r="N69" s="266" t="str">
        <f>IF('G2 MT Reading Scoresheet'!N69&lt;&gt;"",'G2 MT Reading Scoresheet'!N69,"")</f>
        <v/>
      </c>
      <c r="O69" s="266" t="str">
        <f>IF('G2 MT Reading Scoresheet'!O69&lt;&gt;"",'G2 MT Reading Scoresheet'!O69,"")</f>
        <v/>
      </c>
      <c r="P69" s="118" t="str">
        <f>IF('G2 MT Reading Scoresheet'!P69&lt;&gt;"",'G2 MT Reading Scoresheet'!P69,"")</f>
        <v/>
      </c>
      <c r="Q69" s="122" t="str">
        <f>IF('G2 MT Reading Scoresheet'!Q69&lt;&gt;"",'G2 MT Reading Scoresheet'!Q69,"")</f>
        <v/>
      </c>
      <c r="R69" s="266" t="str">
        <f>IF('G2 MT Reading Scoresheet'!R69&lt;&gt;"",'G2 MT Reading Scoresheet'!R69,"")</f>
        <v/>
      </c>
      <c r="S69" s="266" t="str">
        <f>IF('G2 MT Reading Scoresheet'!S69&lt;&gt;"",'G2 MT Reading Scoresheet'!S69,"")</f>
        <v/>
      </c>
      <c r="T69" s="269" t="str">
        <f>IF('G2 MT Reading Scoresheet'!T69&lt;&gt;"",'G2 MT Reading Scoresheet'!T69,"")</f>
        <v/>
      </c>
      <c r="U69" s="87" t="str">
        <f>IF('G2 MT Reading Scoresheet'!U69&lt;&gt;"",'G2 MT Reading Scoresheet'!U69,"")</f>
        <v/>
      </c>
      <c r="V69" s="270"/>
      <c r="Y69" s="218" t="str">
        <f t="shared" si="0"/>
        <v/>
      </c>
    </row>
    <row r="70" spans="1:25" ht="14.4" x14ac:dyDescent="0.3">
      <c r="A70" s="5">
        <f>A69+1</f>
        <v>60</v>
      </c>
      <c r="B70" s="118" t="str">
        <f>IF('G2 MT Reading Scoresheet'!B70&lt;&gt;"",'G2 MT Reading Scoresheet'!B70,"")</f>
        <v/>
      </c>
      <c r="C70" s="133" t="str">
        <f>IF('G2 MT Reading Scoresheet'!C70&lt;&gt;"",'G2 MT Reading Scoresheet'!C70,"")</f>
        <v/>
      </c>
      <c r="D70" s="134" t="str">
        <f>IF('G2 MT Reading Scoresheet'!D70&lt;&gt;"",'G2 MT Reading Scoresheet'!D70,"")</f>
        <v/>
      </c>
      <c r="E70" s="135" t="str">
        <f>IF('G2 MT Reading Scoresheet'!E70&lt;&gt;"",'G2 MT Reading Scoresheet'!E70,"")</f>
        <v/>
      </c>
      <c r="F70" s="265" t="str">
        <f>IF('G2 MT Reading Scoresheet'!F70&lt;&gt;"",'G2 MT Reading Scoresheet'!F70,"")</f>
        <v/>
      </c>
      <c r="G70" s="262" t="str">
        <f>IF('G2 MT Reading Scoresheet'!G70&lt;&gt;"",'G2 MT Reading Scoresheet'!G70,"")</f>
        <v/>
      </c>
      <c r="H70" s="81" t="str">
        <f>IF('G2 MT Reading Scoresheet'!H70&lt;&gt;"",'G2 MT Reading Scoresheet'!H70,"")</f>
        <v/>
      </c>
      <c r="I70" s="81" t="str">
        <f>IF('G2 MT Reading Scoresheet'!I70&lt;&gt;"",'G2 MT Reading Scoresheet'!I70,"")</f>
        <v/>
      </c>
      <c r="J70" s="82" t="str">
        <f>IF('G2 MT Reading Scoresheet'!J70&lt;&gt;"",'G2 MT Reading Scoresheet'!J70,"")</f>
        <v/>
      </c>
      <c r="K70" s="263" t="str">
        <f>IF('G2 MT Reading Scoresheet'!K70&lt;&gt;"",'G2 MT Reading Scoresheet'!K70,"")</f>
        <v/>
      </c>
      <c r="L70" s="87" t="str">
        <f>IF('G2 MT Reading Scoresheet'!L70&lt;&gt;"",'G2 MT Reading Scoresheet'!L70,"")</f>
        <v/>
      </c>
      <c r="M70" s="118" t="str">
        <f>IF('G2 MT Reading Scoresheet'!M70&lt;&gt;"",'G2 MT Reading Scoresheet'!M70,"")</f>
        <v/>
      </c>
      <c r="N70" s="81" t="str">
        <f>IF('G2 MT Reading Scoresheet'!N70&lt;&gt;"",'G2 MT Reading Scoresheet'!N70,"")</f>
        <v/>
      </c>
      <c r="O70" s="81" t="str">
        <f>IF('G2 MT Reading Scoresheet'!O70&lt;&gt;"",'G2 MT Reading Scoresheet'!O70,"")</f>
        <v/>
      </c>
      <c r="P70" s="118" t="str">
        <f>IF('G2 MT Reading Scoresheet'!P70&lt;&gt;"",'G2 MT Reading Scoresheet'!P70,"")</f>
        <v/>
      </c>
      <c r="Q70" s="122" t="str">
        <f>IF('G2 MT Reading Scoresheet'!Q70&lt;&gt;"",'G2 MT Reading Scoresheet'!Q70,"")</f>
        <v/>
      </c>
      <c r="R70" s="81" t="str">
        <f>IF('G2 MT Reading Scoresheet'!R70&lt;&gt;"",'G2 MT Reading Scoresheet'!R70,"")</f>
        <v/>
      </c>
      <c r="S70" s="81" t="str">
        <f>IF('G2 MT Reading Scoresheet'!S70&lt;&gt;"",'G2 MT Reading Scoresheet'!S70,"")</f>
        <v/>
      </c>
      <c r="T70" s="82" t="str">
        <f>IF('G2 MT Reading Scoresheet'!T70&lt;&gt;"",'G2 MT Reading Scoresheet'!T70,"")</f>
        <v/>
      </c>
      <c r="U70" s="87" t="str">
        <f>IF('G2 MT Reading Scoresheet'!U70&lt;&gt;"",'G2 MT Reading Scoresheet'!U70,"")</f>
        <v/>
      </c>
      <c r="V70" s="264"/>
      <c r="Y70" s="218" t="str">
        <f t="shared" si="0"/>
        <v/>
      </c>
    </row>
    <row r="71" spans="1:25" ht="14.4" x14ac:dyDescent="0.3">
      <c r="A71" s="4">
        <f t="shared" ref="A71:A109" si="1">A70+1</f>
        <v>61</v>
      </c>
      <c r="B71" s="118" t="str">
        <f>IF('G2 MT Reading Scoresheet'!B71&lt;&gt;"",'G2 MT Reading Scoresheet'!B71,"")</f>
        <v/>
      </c>
      <c r="C71" s="133" t="str">
        <f>IF('G2 MT Reading Scoresheet'!C71&lt;&gt;"",'G2 MT Reading Scoresheet'!C71,"")</f>
        <v/>
      </c>
      <c r="D71" s="134" t="str">
        <f>IF('G2 MT Reading Scoresheet'!D71&lt;&gt;"",'G2 MT Reading Scoresheet'!D71,"")</f>
        <v/>
      </c>
      <c r="E71" s="135" t="str">
        <f>IF('G2 MT Reading Scoresheet'!E71&lt;&gt;"",'G2 MT Reading Scoresheet'!E71,"")</f>
        <v/>
      </c>
      <c r="F71" s="261" t="str">
        <f>IF('G2 MT Reading Scoresheet'!F71&lt;&gt;"",'G2 MT Reading Scoresheet'!F71,"")</f>
        <v/>
      </c>
      <c r="G71" s="255" t="str">
        <f>IF('G2 MT Reading Scoresheet'!G71&lt;&gt;"",'G2 MT Reading Scoresheet'!G71,"")</f>
        <v/>
      </c>
      <c r="H71" s="266" t="str">
        <f>IF('G2 MT Reading Scoresheet'!H71&lt;&gt;"",'G2 MT Reading Scoresheet'!H71,"")</f>
        <v/>
      </c>
      <c r="I71" s="81" t="str">
        <f>IF('G2 MT Reading Scoresheet'!I71&lt;&gt;"",'G2 MT Reading Scoresheet'!I71,"")</f>
        <v/>
      </c>
      <c r="J71" s="82" t="str">
        <f>IF('G2 MT Reading Scoresheet'!J71&lt;&gt;"",'G2 MT Reading Scoresheet'!J71,"")</f>
        <v/>
      </c>
      <c r="K71" s="267" t="str">
        <f>IF('G2 MT Reading Scoresheet'!K71&lt;&gt;"",'G2 MT Reading Scoresheet'!K71,"")</f>
        <v/>
      </c>
      <c r="L71" s="268" t="str">
        <f>IF('G2 MT Reading Scoresheet'!L71&lt;&gt;"",'G2 MT Reading Scoresheet'!L71,"")</f>
        <v/>
      </c>
      <c r="M71" s="118" t="str">
        <f>IF('G2 MT Reading Scoresheet'!M71&lt;&gt;"",'G2 MT Reading Scoresheet'!M71,"")</f>
        <v/>
      </c>
      <c r="N71" s="266" t="str">
        <f>IF('G2 MT Reading Scoresheet'!N71&lt;&gt;"",'G2 MT Reading Scoresheet'!N71,"")</f>
        <v/>
      </c>
      <c r="O71" s="266" t="str">
        <f>IF('G2 MT Reading Scoresheet'!O71&lt;&gt;"",'G2 MT Reading Scoresheet'!O71,"")</f>
        <v/>
      </c>
      <c r="P71" s="118" t="str">
        <f>IF('G2 MT Reading Scoresheet'!P71&lt;&gt;"",'G2 MT Reading Scoresheet'!P71,"")</f>
        <v/>
      </c>
      <c r="Q71" s="122" t="str">
        <f>IF('G2 MT Reading Scoresheet'!Q71&lt;&gt;"",'G2 MT Reading Scoresheet'!Q71,"")</f>
        <v/>
      </c>
      <c r="R71" s="266" t="str">
        <f>IF('G2 MT Reading Scoresheet'!R71&lt;&gt;"",'G2 MT Reading Scoresheet'!R71,"")</f>
        <v/>
      </c>
      <c r="S71" s="266" t="str">
        <f>IF('G2 MT Reading Scoresheet'!S71&lt;&gt;"",'G2 MT Reading Scoresheet'!S71,"")</f>
        <v/>
      </c>
      <c r="T71" s="269" t="str">
        <f>IF('G2 MT Reading Scoresheet'!T71&lt;&gt;"",'G2 MT Reading Scoresheet'!T71,"")</f>
        <v/>
      </c>
      <c r="U71" s="87" t="str">
        <f>IF('G2 MT Reading Scoresheet'!U71&lt;&gt;"",'G2 MT Reading Scoresheet'!U71,"")</f>
        <v/>
      </c>
      <c r="V71" s="270"/>
      <c r="Y71" s="218" t="str">
        <f t="shared" si="0"/>
        <v/>
      </c>
    </row>
    <row r="72" spans="1:25" ht="14.4" x14ac:dyDescent="0.3">
      <c r="A72" s="5">
        <f t="shared" si="1"/>
        <v>62</v>
      </c>
      <c r="B72" s="118" t="str">
        <f>IF('G2 MT Reading Scoresheet'!B72&lt;&gt;"",'G2 MT Reading Scoresheet'!B72,"")</f>
        <v/>
      </c>
      <c r="C72" s="133" t="str">
        <f>IF('G2 MT Reading Scoresheet'!C72&lt;&gt;"",'G2 MT Reading Scoresheet'!C72,"")</f>
        <v/>
      </c>
      <c r="D72" s="134" t="str">
        <f>IF('G2 MT Reading Scoresheet'!D72&lt;&gt;"",'G2 MT Reading Scoresheet'!D72,"")</f>
        <v/>
      </c>
      <c r="E72" s="135" t="str">
        <f>IF('G2 MT Reading Scoresheet'!E72&lt;&gt;"",'G2 MT Reading Scoresheet'!E72,"")</f>
        <v/>
      </c>
      <c r="F72" s="265" t="str">
        <f>IF('G2 MT Reading Scoresheet'!F72&lt;&gt;"",'G2 MT Reading Scoresheet'!F72,"")</f>
        <v/>
      </c>
      <c r="G72" s="262" t="str">
        <f>IF('G2 MT Reading Scoresheet'!G72&lt;&gt;"",'G2 MT Reading Scoresheet'!G72,"")</f>
        <v/>
      </c>
      <c r="H72" s="81" t="str">
        <f>IF('G2 MT Reading Scoresheet'!H72&lt;&gt;"",'G2 MT Reading Scoresheet'!H72,"")</f>
        <v/>
      </c>
      <c r="I72" s="81" t="str">
        <f>IF('G2 MT Reading Scoresheet'!I72&lt;&gt;"",'G2 MT Reading Scoresheet'!I72,"")</f>
        <v/>
      </c>
      <c r="J72" s="82" t="str">
        <f>IF('G2 MT Reading Scoresheet'!J72&lt;&gt;"",'G2 MT Reading Scoresheet'!J72,"")</f>
        <v/>
      </c>
      <c r="K72" s="263" t="str">
        <f>IF('G2 MT Reading Scoresheet'!K72&lt;&gt;"",'G2 MT Reading Scoresheet'!K72,"")</f>
        <v/>
      </c>
      <c r="L72" s="87" t="str">
        <f>IF('G2 MT Reading Scoresheet'!L72&lt;&gt;"",'G2 MT Reading Scoresheet'!L72,"")</f>
        <v/>
      </c>
      <c r="M72" s="118" t="str">
        <f>IF('G2 MT Reading Scoresheet'!M72&lt;&gt;"",'G2 MT Reading Scoresheet'!M72,"")</f>
        <v/>
      </c>
      <c r="N72" s="81" t="str">
        <f>IF('G2 MT Reading Scoresheet'!N72&lt;&gt;"",'G2 MT Reading Scoresheet'!N72,"")</f>
        <v/>
      </c>
      <c r="O72" s="81" t="str">
        <f>IF('G2 MT Reading Scoresheet'!O72&lt;&gt;"",'G2 MT Reading Scoresheet'!O72,"")</f>
        <v/>
      </c>
      <c r="P72" s="118" t="str">
        <f>IF('G2 MT Reading Scoresheet'!P72&lt;&gt;"",'G2 MT Reading Scoresheet'!P72,"")</f>
        <v/>
      </c>
      <c r="Q72" s="122" t="str">
        <f>IF('G2 MT Reading Scoresheet'!Q72&lt;&gt;"",'G2 MT Reading Scoresheet'!Q72,"")</f>
        <v/>
      </c>
      <c r="R72" s="81" t="str">
        <f>IF('G2 MT Reading Scoresheet'!R72&lt;&gt;"",'G2 MT Reading Scoresheet'!R72,"")</f>
        <v/>
      </c>
      <c r="S72" s="81" t="str">
        <f>IF('G2 MT Reading Scoresheet'!S72&lt;&gt;"",'G2 MT Reading Scoresheet'!S72,"")</f>
        <v/>
      </c>
      <c r="T72" s="82" t="str">
        <f>IF('G2 MT Reading Scoresheet'!T72&lt;&gt;"",'G2 MT Reading Scoresheet'!T72,"")</f>
        <v/>
      </c>
      <c r="U72" s="87" t="str">
        <f>IF('G2 MT Reading Scoresheet'!U72&lt;&gt;"",'G2 MT Reading Scoresheet'!U72,"")</f>
        <v/>
      </c>
      <c r="V72" s="264"/>
      <c r="Y72" s="218" t="str">
        <f t="shared" si="0"/>
        <v/>
      </c>
    </row>
    <row r="73" spans="1:25" ht="14.4" x14ac:dyDescent="0.3">
      <c r="A73" s="4">
        <f t="shared" si="1"/>
        <v>63</v>
      </c>
      <c r="B73" s="118" t="str">
        <f>IF('G2 MT Reading Scoresheet'!B73&lt;&gt;"",'G2 MT Reading Scoresheet'!B73,"")</f>
        <v/>
      </c>
      <c r="C73" s="133" t="str">
        <f>IF('G2 MT Reading Scoresheet'!C73&lt;&gt;"",'G2 MT Reading Scoresheet'!C73,"")</f>
        <v/>
      </c>
      <c r="D73" s="134" t="str">
        <f>IF('G2 MT Reading Scoresheet'!D73&lt;&gt;"",'G2 MT Reading Scoresheet'!D73,"")</f>
        <v/>
      </c>
      <c r="E73" s="135" t="str">
        <f>IF('G2 MT Reading Scoresheet'!E73&lt;&gt;"",'G2 MT Reading Scoresheet'!E73,"")</f>
        <v/>
      </c>
      <c r="F73" s="261" t="str">
        <f>IF('G2 MT Reading Scoresheet'!F73&lt;&gt;"",'G2 MT Reading Scoresheet'!F73,"")</f>
        <v/>
      </c>
      <c r="G73" s="255" t="str">
        <f>IF('G2 MT Reading Scoresheet'!G73&lt;&gt;"",'G2 MT Reading Scoresheet'!G73,"")</f>
        <v/>
      </c>
      <c r="H73" s="266" t="str">
        <f>IF('G2 MT Reading Scoresheet'!H73&lt;&gt;"",'G2 MT Reading Scoresheet'!H73,"")</f>
        <v/>
      </c>
      <c r="I73" s="81" t="str">
        <f>IF('G2 MT Reading Scoresheet'!I73&lt;&gt;"",'G2 MT Reading Scoresheet'!I73,"")</f>
        <v/>
      </c>
      <c r="J73" s="82" t="str">
        <f>IF('G2 MT Reading Scoresheet'!J73&lt;&gt;"",'G2 MT Reading Scoresheet'!J73,"")</f>
        <v/>
      </c>
      <c r="K73" s="267" t="str">
        <f>IF('G2 MT Reading Scoresheet'!K73&lt;&gt;"",'G2 MT Reading Scoresheet'!K73,"")</f>
        <v/>
      </c>
      <c r="L73" s="268" t="str">
        <f>IF('G2 MT Reading Scoresheet'!L73&lt;&gt;"",'G2 MT Reading Scoresheet'!L73,"")</f>
        <v/>
      </c>
      <c r="M73" s="118" t="str">
        <f>IF('G2 MT Reading Scoresheet'!M73&lt;&gt;"",'G2 MT Reading Scoresheet'!M73,"")</f>
        <v/>
      </c>
      <c r="N73" s="266" t="str">
        <f>IF('G2 MT Reading Scoresheet'!N73&lt;&gt;"",'G2 MT Reading Scoresheet'!N73,"")</f>
        <v/>
      </c>
      <c r="O73" s="266" t="str">
        <f>IF('G2 MT Reading Scoresheet'!O73&lt;&gt;"",'G2 MT Reading Scoresheet'!O73,"")</f>
        <v/>
      </c>
      <c r="P73" s="118" t="str">
        <f>IF('G2 MT Reading Scoresheet'!P73&lt;&gt;"",'G2 MT Reading Scoresheet'!P73,"")</f>
        <v/>
      </c>
      <c r="Q73" s="122" t="str">
        <f>IF('G2 MT Reading Scoresheet'!Q73&lt;&gt;"",'G2 MT Reading Scoresheet'!Q73,"")</f>
        <v/>
      </c>
      <c r="R73" s="266" t="str">
        <f>IF('G2 MT Reading Scoresheet'!R73&lt;&gt;"",'G2 MT Reading Scoresheet'!R73,"")</f>
        <v/>
      </c>
      <c r="S73" s="266" t="str">
        <f>IF('G2 MT Reading Scoresheet'!S73&lt;&gt;"",'G2 MT Reading Scoresheet'!S73,"")</f>
        <v/>
      </c>
      <c r="T73" s="269" t="str">
        <f>IF('G2 MT Reading Scoresheet'!T73&lt;&gt;"",'G2 MT Reading Scoresheet'!T73,"")</f>
        <v/>
      </c>
      <c r="U73" s="87" t="str">
        <f>IF('G2 MT Reading Scoresheet'!U73&lt;&gt;"",'G2 MT Reading Scoresheet'!U73,"")</f>
        <v/>
      </c>
      <c r="V73" s="270"/>
      <c r="Y73" s="218" t="str">
        <f t="shared" si="0"/>
        <v/>
      </c>
    </row>
    <row r="74" spans="1:25" ht="14.4" x14ac:dyDescent="0.3">
      <c r="A74" s="5">
        <f t="shared" si="1"/>
        <v>64</v>
      </c>
      <c r="B74" s="118" t="str">
        <f>IF('G2 MT Reading Scoresheet'!B74&lt;&gt;"",'G2 MT Reading Scoresheet'!B74,"")</f>
        <v/>
      </c>
      <c r="C74" s="133" t="str">
        <f>IF('G2 MT Reading Scoresheet'!C74&lt;&gt;"",'G2 MT Reading Scoresheet'!C74,"")</f>
        <v/>
      </c>
      <c r="D74" s="134" t="str">
        <f>IF('G2 MT Reading Scoresheet'!D74&lt;&gt;"",'G2 MT Reading Scoresheet'!D74,"")</f>
        <v/>
      </c>
      <c r="E74" s="135" t="str">
        <f>IF('G2 MT Reading Scoresheet'!E74&lt;&gt;"",'G2 MT Reading Scoresheet'!E74,"")</f>
        <v/>
      </c>
      <c r="F74" s="265" t="str">
        <f>IF('G2 MT Reading Scoresheet'!F74&lt;&gt;"",'G2 MT Reading Scoresheet'!F74,"")</f>
        <v/>
      </c>
      <c r="G74" s="262" t="str">
        <f>IF('G2 MT Reading Scoresheet'!G74&lt;&gt;"",'G2 MT Reading Scoresheet'!G74,"")</f>
        <v/>
      </c>
      <c r="H74" s="81" t="str">
        <f>IF('G2 MT Reading Scoresheet'!H74&lt;&gt;"",'G2 MT Reading Scoresheet'!H74,"")</f>
        <v/>
      </c>
      <c r="I74" s="81" t="str">
        <f>IF('G2 MT Reading Scoresheet'!I74&lt;&gt;"",'G2 MT Reading Scoresheet'!I74,"")</f>
        <v/>
      </c>
      <c r="J74" s="82" t="str">
        <f>IF('G2 MT Reading Scoresheet'!J74&lt;&gt;"",'G2 MT Reading Scoresheet'!J74,"")</f>
        <v/>
      </c>
      <c r="K74" s="263" t="str">
        <f>IF('G2 MT Reading Scoresheet'!K74&lt;&gt;"",'G2 MT Reading Scoresheet'!K74,"")</f>
        <v/>
      </c>
      <c r="L74" s="87" t="str">
        <f>IF('G2 MT Reading Scoresheet'!L74&lt;&gt;"",'G2 MT Reading Scoresheet'!L74,"")</f>
        <v/>
      </c>
      <c r="M74" s="118" t="str">
        <f>IF('G2 MT Reading Scoresheet'!M74&lt;&gt;"",'G2 MT Reading Scoresheet'!M74,"")</f>
        <v/>
      </c>
      <c r="N74" s="81" t="str">
        <f>IF('G2 MT Reading Scoresheet'!N74&lt;&gt;"",'G2 MT Reading Scoresheet'!N74,"")</f>
        <v/>
      </c>
      <c r="O74" s="81" t="str">
        <f>IF('G2 MT Reading Scoresheet'!O74&lt;&gt;"",'G2 MT Reading Scoresheet'!O74,"")</f>
        <v/>
      </c>
      <c r="P74" s="118" t="str">
        <f>IF('G2 MT Reading Scoresheet'!P74&lt;&gt;"",'G2 MT Reading Scoresheet'!P74,"")</f>
        <v/>
      </c>
      <c r="Q74" s="122" t="str">
        <f>IF('G2 MT Reading Scoresheet'!Q74&lt;&gt;"",'G2 MT Reading Scoresheet'!Q74,"")</f>
        <v/>
      </c>
      <c r="R74" s="81" t="str">
        <f>IF('G2 MT Reading Scoresheet'!R74&lt;&gt;"",'G2 MT Reading Scoresheet'!R74,"")</f>
        <v/>
      </c>
      <c r="S74" s="81" t="str">
        <f>IF('G2 MT Reading Scoresheet'!S74&lt;&gt;"",'G2 MT Reading Scoresheet'!S74,"")</f>
        <v/>
      </c>
      <c r="T74" s="82" t="str">
        <f>IF('G2 MT Reading Scoresheet'!T74&lt;&gt;"",'G2 MT Reading Scoresheet'!T74,"")</f>
        <v/>
      </c>
      <c r="U74" s="87" t="str">
        <f>IF('G2 MT Reading Scoresheet'!U74&lt;&gt;"",'G2 MT Reading Scoresheet'!U74,"")</f>
        <v/>
      </c>
      <c r="V74" s="264"/>
      <c r="Y74" s="218" t="str">
        <f t="shared" si="0"/>
        <v/>
      </c>
    </row>
    <row r="75" spans="1:25" ht="14.4" x14ac:dyDescent="0.3">
      <c r="A75" s="4">
        <f t="shared" si="1"/>
        <v>65</v>
      </c>
      <c r="B75" s="118" t="str">
        <f>IF('G2 MT Reading Scoresheet'!B75&lt;&gt;"",'G2 MT Reading Scoresheet'!B75,"")</f>
        <v/>
      </c>
      <c r="C75" s="133" t="str">
        <f>IF('G2 MT Reading Scoresheet'!C75&lt;&gt;"",'G2 MT Reading Scoresheet'!C75,"")</f>
        <v/>
      </c>
      <c r="D75" s="134" t="str">
        <f>IF('G2 MT Reading Scoresheet'!D75&lt;&gt;"",'G2 MT Reading Scoresheet'!D75,"")</f>
        <v/>
      </c>
      <c r="E75" s="135" t="str">
        <f>IF('G2 MT Reading Scoresheet'!E75&lt;&gt;"",'G2 MT Reading Scoresheet'!E75,"")</f>
        <v/>
      </c>
      <c r="F75" s="261" t="str">
        <f>IF('G2 MT Reading Scoresheet'!F75&lt;&gt;"",'G2 MT Reading Scoresheet'!F75,"")</f>
        <v/>
      </c>
      <c r="G75" s="255" t="str">
        <f>IF('G2 MT Reading Scoresheet'!G75&lt;&gt;"",'G2 MT Reading Scoresheet'!G75,"")</f>
        <v/>
      </c>
      <c r="H75" s="266" t="str">
        <f>IF('G2 MT Reading Scoresheet'!H75&lt;&gt;"",'G2 MT Reading Scoresheet'!H75,"")</f>
        <v/>
      </c>
      <c r="I75" s="81" t="str">
        <f>IF('G2 MT Reading Scoresheet'!I75&lt;&gt;"",'G2 MT Reading Scoresheet'!I75,"")</f>
        <v/>
      </c>
      <c r="J75" s="82" t="str">
        <f>IF('G2 MT Reading Scoresheet'!J75&lt;&gt;"",'G2 MT Reading Scoresheet'!J75,"")</f>
        <v/>
      </c>
      <c r="K75" s="267" t="str">
        <f>IF('G2 MT Reading Scoresheet'!K75&lt;&gt;"",'G2 MT Reading Scoresheet'!K75,"")</f>
        <v/>
      </c>
      <c r="L75" s="268" t="str">
        <f>IF('G2 MT Reading Scoresheet'!L75&lt;&gt;"",'G2 MT Reading Scoresheet'!L75,"")</f>
        <v/>
      </c>
      <c r="M75" s="118" t="str">
        <f>IF('G2 MT Reading Scoresheet'!M75&lt;&gt;"",'G2 MT Reading Scoresheet'!M75,"")</f>
        <v/>
      </c>
      <c r="N75" s="266" t="str">
        <f>IF('G2 MT Reading Scoresheet'!N75&lt;&gt;"",'G2 MT Reading Scoresheet'!N75,"")</f>
        <v/>
      </c>
      <c r="O75" s="266" t="str">
        <f>IF('G2 MT Reading Scoresheet'!O75&lt;&gt;"",'G2 MT Reading Scoresheet'!O75,"")</f>
        <v/>
      </c>
      <c r="P75" s="118" t="str">
        <f>IF('G2 MT Reading Scoresheet'!P75&lt;&gt;"",'G2 MT Reading Scoresheet'!P75,"")</f>
        <v/>
      </c>
      <c r="Q75" s="122" t="str">
        <f>IF('G2 MT Reading Scoresheet'!Q75&lt;&gt;"",'G2 MT Reading Scoresheet'!Q75,"")</f>
        <v/>
      </c>
      <c r="R75" s="266" t="str">
        <f>IF('G2 MT Reading Scoresheet'!R75&lt;&gt;"",'G2 MT Reading Scoresheet'!R75,"")</f>
        <v/>
      </c>
      <c r="S75" s="266" t="str">
        <f>IF('G2 MT Reading Scoresheet'!S75&lt;&gt;"",'G2 MT Reading Scoresheet'!S75,"")</f>
        <v/>
      </c>
      <c r="T75" s="269" t="str">
        <f>IF('G2 MT Reading Scoresheet'!T75&lt;&gt;"",'G2 MT Reading Scoresheet'!T75,"")</f>
        <v/>
      </c>
      <c r="U75" s="87" t="str">
        <f>IF('G2 MT Reading Scoresheet'!U75&lt;&gt;"",'G2 MT Reading Scoresheet'!U75,"")</f>
        <v/>
      </c>
      <c r="V75" s="270"/>
      <c r="Y75" s="218" t="str">
        <f t="shared" si="0"/>
        <v/>
      </c>
    </row>
    <row r="76" spans="1:25" ht="14.4" x14ac:dyDescent="0.3">
      <c r="A76" s="5">
        <f t="shared" si="1"/>
        <v>66</v>
      </c>
      <c r="B76" s="118" t="str">
        <f>IF('G2 MT Reading Scoresheet'!B76&lt;&gt;"",'G2 MT Reading Scoresheet'!B76,"")</f>
        <v/>
      </c>
      <c r="C76" s="133" t="str">
        <f>IF('G2 MT Reading Scoresheet'!C76&lt;&gt;"",'G2 MT Reading Scoresheet'!C76,"")</f>
        <v/>
      </c>
      <c r="D76" s="134" t="str">
        <f>IF('G2 MT Reading Scoresheet'!D76&lt;&gt;"",'G2 MT Reading Scoresheet'!D76,"")</f>
        <v/>
      </c>
      <c r="E76" s="135" t="str">
        <f>IF('G2 MT Reading Scoresheet'!E76&lt;&gt;"",'G2 MT Reading Scoresheet'!E76,"")</f>
        <v/>
      </c>
      <c r="F76" s="265" t="str">
        <f>IF('G2 MT Reading Scoresheet'!F76&lt;&gt;"",'G2 MT Reading Scoresheet'!F76,"")</f>
        <v/>
      </c>
      <c r="G76" s="262" t="str">
        <f>IF('G2 MT Reading Scoresheet'!G76&lt;&gt;"",'G2 MT Reading Scoresheet'!G76,"")</f>
        <v/>
      </c>
      <c r="H76" s="81" t="str">
        <f>IF('G2 MT Reading Scoresheet'!H76&lt;&gt;"",'G2 MT Reading Scoresheet'!H76,"")</f>
        <v/>
      </c>
      <c r="I76" s="81" t="str">
        <f>IF('G2 MT Reading Scoresheet'!I76&lt;&gt;"",'G2 MT Reading Scoresheet'!I76,"")</f>
        <v/>
      </c>
      <c r="J76" s="82" t="str">
        <f>IF('G2 MT Reading Scoresheet'!J76&lt;&gt;"",'G2 MT Reading Scoresheet'!J76,"")</f>
        <v/>
      </c>
      <c r="K76" s="263" t="str">
        <f>IF('G2 MT Reading Scoresheet'!K76&lt;&gt;"",'G2 MT Reading Scoresheet'!K76,"")</f>
        <v/>
      </c>
      <c r="L76" s="87" t="str">
        <f>IF('G2 MT Reading Scoresheet'!L76&lt;&gt;"",'G2 MT Reading Scoresheet'!L76,"")</f>
        <v/>
      </c>
      <c r="M76" s="118" t="str">
        <f>IF('G2 MT Reading Scoresheet'!M76&lt;&gt;"",'G2 MT Reading Scoresheet'!M76,"")</f>
        <v/>
      </c>
      <c r="N76" s="81" t="str">
        <f>IF('G2 MT Reading Scoresheet'!N76&lt;&gt;"",'G2 MT Reading Scoresheet'!N76,"")</f>
        <v/>
      </c>
      <c r="O76" s="81" t="str">
        <f>IF('G2 MT Reading Scoresheet'!O76&lt;&gt;"",'G2 MT Reading Scoresheet'!O76,"")</f>
        <v/>
      </c>
      <c r="P76" s="118" t="str">
        <f>IF('G2 MT Reading Scoresheet'!P76&lt;&gt;"",'G2 MT Reading Scoresheet'!P76,"")</f>
        <v/>
      </c>
      <c r="Q76" s="122" t="str">
        <f>IF('G2 MT Reading Scoresheet'!Q76&lt;&gt;"",'G2 MT Reading Scoresheet'!Q76,"")</f>
        <v/>
      </c>
      <c r="R76" s="81" t="str">
        <f>IF('G2 MT Reading Scoresheet'!R76&lt;&gt;"",'G2 MT Reading Scoresheet'!R76,"")</f>
        <v/>
      </c>
      <c r="S76" s="81" t="str">
        <f>IF('G2 MT Reading Scoresheet'!S76&lt;&gt;"",'G2 MT Reading Scoresheet'!S76,"")</f>
        <v/>
      </c>
      <c r="T76" s="82" t="str">
        <f>IF('G2 MT Reading Scoresheet'!T76&lt;&gt;"",'G2 MT Reading Scoresheet'!T76,"")</f>
        <v/>
      </c>
      <c r="U76" s="87" t="str">
        <f>IF('G2 MT Reading Scoresheet'!U76&lt;&gt;"",'G2 MT Reading Scoresheet'!U76,"")</f>
        <v/>
      </c>
      <c r="V76" s="264"/>
      <c r="Y76" s="218" t="str">
        <f t="shared" ref="Y76:Y110" si="2">IF(C76&lt;&gt;"",R76/6,"")</f>
        <v/>
      </c>
    </row>
    <row r="77" spans="1:25" ht="14.4" x14ac:dyDescent="0.3">
      <c r="A77" s="4">
        <f t="shared" si="1"/>
        <v>67</v>
      </c>
      <c r="B77" s="118" t="str">
        <f>IF('G2 MT Reading Scoresheet'!B77&lt;&gt;"",'G2 MT Reading Scoresheet'!B77,"")</f>
        <v/>
      </c>
      <c r="C77" s="133" t="str">
        <f>IF('G2 MT Reading Scoresheet'!C77&lt;&gt;"",'G2 MT Reading Scoresheet'!C77,"")</f>
        <v/>
      </c>
      <c r="D77" s="134" t="str">
        <f>IF('G2 MT Reading Scoresheet'!D77&lt;&gt;"",'G2 MT Reading Scoresheet'!D77,"")</f>
        <v/>
      </c>
      <c r="E77" s="135" t="str">
        <f>IF('G2 MT Reading Scoresheet'!E77&lt;&gt;"",'G2 MT Reading Scoresheet'!E77,"")</f>
        <v/>
      </c>
      <c r="F77" s="261" t="str">
        <f>IF('G2 MT Reading Scoresheet'!F77&lt;&gt;"",'G2 MT Reading Scoresheet'!F77,"")</f>
        <v/>
      </c>
      <c r="G77" s="255" t="str">
        <f>IF('G2 MT Reading Scoresheet'!G77&lt;&gt;"",'G2 MT Reading Scoresheet'!G77,"")</f>
        <v/>
      </c>
      <c r="H77" s="266" t="str">
        <f>IF('G2 MT Reading Scoresheet'!H77&lt;&gt;"",'G2 MT Reading Scoresheet'!H77,"")</f>
        <v/>
      </c>
      <c r="I77" s="81" t="str">
        <f>IF('G2 MT Reading Scoresheet'!I77&lt;&gt;"",'G2 MT Reading Scoresheet'!I77,"")</f>
        <v/>
      </c>
      <c r="J77" s="82" t="str">
        <f>IF('G2 MT Reading Scoresheet'!J77&lt;&gt;"",'G2 MT Reading Scoresheet'!J77,"")</f>
        <v/>
      </c>
      <c r="K77" s="267" t="str">
        <f>IF('G2 MT Reading Scoresheet'!K77&lt;&gt;"",'G2 MT Reading Scoresheet'!K77,"")</f>
        <v/>
      </c>
      <c r="L77" s="268" t="str">
        <f>IF('G2 MT Reading Scoresheet'!L77&lt;&gt;"",'G2 MT Reading Scoresheet'!L77,"")</f>
        <v/>
      </c>
      <c r="M77" s="118" t="str">
        <f>IF('G2 MT Reading Scoresheet'!M77&lt;&gt;"",'G2 MT Reading Scoresheet'!M77,"")</f>
        <v/>
      </c>
      <c r="N77" s="266" t="str">
        <f>IF('G2 MT Reading Scoresheet'!N77&lt;&gt;"",'G2 MT Reading Scoresheet'!N77,"")</f>
        <v/>
      </c>
      <c r="O77" s="266" t="str">
        <f>IF('G2 MT Reading Scoresheet'!O77&lt;&gt;"",'G2 MT Reading Scoresheet'!O77,"")</f>
        <v/>
      </c>
      <c r="P77" s="118" t="str">
        <f>IF('G2 MT Reading Scoresheet'!P77&lt;&gt;"",'G2 MT Reading Scoresheet'!P77,"")</f>
        <v/>
      </c>
      <c r="Q77" s="122" t="str">
        <f>IF('G2 MT Reading Scoresheet'!Q77&lt;&gt;"",'G2 MT Reading Scoresheet'!Q77,"")</f>
        <v/>
      </c>
      <c r="R77" s="266" t="str">
        <f>IF('G2 MT Reading Scoresheet'!R77&lt;&gt;"",'G2 MT Reading Scoresheet'!R77,"")</f>
        <v/>
      </c>
      <c r="S77" s="266" t="str">
        <f>IF('G2 MT Reading Scoresheet'!S77&lt;&gt;"",'G2 MT Reading Scoresheet'!S77,"")</f>
        <v/>
      </c>
      <c r="T77" s="269" t="str">
        <f>IF('G2 MT Reading Scoresheet'!T77&lt;&gt;"",'G2 MT Reading Scoresheet'!T77,"")</f>
        <v/>
      </c>
      <c r="U77" s="87" t="str">
        <f>IF('G2 MT Reading Scoresheet'!U77&lt;&gt;"",'G2 MT Reading Scoresheet'!U77,"")</f>
        <v/>
      </c>
      <c r="V77" s="270"/>
      <c r="Y77" s="218" t="str">
        <f t="shared" si="2"/>
        <v/>
      </c>
    </row>
    <row r="78" spans="1:25" ht="14.4" x14ac:dyDescent="0.3">
      <c r="A78" s="5">
        <f t="shared" si="1"/>
        <v>68</v>
      </c>
      <c r="B78" s="118" t="str">
        <f>IF('G2 MT Reading Scoresheet'!B78&lt;&gt;"",'G2 MT Reading Scoresheet'!B78,"")</f>
        <v/>
      </c>
      <c r="C78" s="133" t="str">
        <f>IF('G2 MT Reading Scoresheet'!C78&lt;&gt;"",'G2 MT Reading Scoresheet'!C78,"")</f>
        <v/>
      </c>
      <c r="D78" s="134" t="str">
        <f>IF('G2 MT Reading Scoresheet'!D78&lt;&gt;"",'G2 MT Reading Scoresheet'!D78,"")</f>
        <v/>
      </c>
      <c r="E78" s="135" t="str">
        <f>IF('G2 MT Reading Scoresheet'!E78&lt;&gt;"",'G2 MT Reading Scoresheet'!E78,"")</f>
        <v/>
      </c>
      <c r="F78" s="265" t="str">
        <f>IF('G2 MT Reading Scoresheet'!F78&lt;&gt;"",'G2 MT Reading Scoresheet'!F78,"")</f>
        <v/>
      </c>
      <c r="G78" s="262" t="str">
        <f>IF('G2 MT Reading Scoresheet'!G78&lt;&gt;"",'G2 MT Reading Scoresheet'!G78,"")</f>
        <v/>
      </c>
      <c r="H78" s="81" t="str">
        <f>IF('G2 MT Reading Scoresheet'!H78&lt;&gt;"",'G2 MT Reading Scoresheet'!H78,"")</f>
        <v/>
      </c>
      <c r="I78" s="81" t="str">
        <f>IF('G2 MT Reading Scoresheet'!I78&lt;&gt;"",'G2 MT Reading Scoresheet'!I78,"")</f>
        <v/>
      </c>
      <c r="J78" s="82" t="str">
        <f>IF('G2 MT Reading Scoresheet'!J78&lt;&gt;"",'G2 MT Reading Scoresheet'!J78,"")</f>
        <v/>
      </c>
      <c r="K78" s="263" t="str">
        <f>IF('G2 MT Reading Scoresheet'!K78&lt;&gt;"",'G2 MT Reading Scoresheet'!K78,"")</f>
        <v/>
      </c>
      <c r="L78" s="87" t="str">
        <f>IF('G2 MT Reading Scoresheet'!L78&lt;&gt;"",'G2 MT Reading Scoresheet'!L78,"")</f>
        <v/>
      </c>
      <c r="M78" s="118" t="str">
        <f>IF('G2 MT Reading Scoresheet'!M78&lt;&gt;"",'G2 MT Reading Scoresheet'!M78,"")</f>
        <v/>
      </c>
      <c r="N78" s="81" t="str">
        <f>IF('G2 MT Reading Scoresheet'!N78&lt;&gt;"",'G2 MT Reading Scoresheet'!N78,"")</f>
        <v/>
      </c>
      <c r="O78" s="81" t="str">
        <f>IF('G2 MT Reading Scoresheet'!O78&lt;&gt;"",'G2 MT Reading Scoresheet'!O78,"")</f>
        <v/>
      </c>
      <c r="P78" s="118" t="str">
        <f>IF('G2 MT Reading Scoresheet'!P78&lt;&gt;"",'G2 MT Reading Scoresheet'!P78,"")</f>
        <v/>
      </c>
      <c r="Q78" s="122" t="str">
        <f>IF('G2 MT Reading Scoresheet'!Q78&lt;&gt;"",'G2 MT Reading Scoresheet'!Q78,"")</f>
        <v/>
      </c>
      <c r="R78" s="81" t="str">
        <f>IF('G2 MT Reading Scoresheet'!R78&lt;&gt;"",'G2 MT Reading Scoresheet'!R78,"")</f>
        <v/>
      </c>
      <c r="S78" s="81" t="str">
        <f>IF('G2 MT Reading Scoresheet'!S78&lt;&gt;"",'G2 MT Reading Scoresheet'!S78,"")</f>
        <v/>
      </c>
      <c r="T78" s="82" t="str">
        <f>IF('G2 MT Reading Scoresheet'!T78&lt;&gt;"",'G2 MT Reading Scoresheet'!T78,"")</f>
        <v/>
      </c>
      <c r="U78" s="87" t="str">
        <f>IF('G2 MT Reading Scoresheet'!U78&lt;&gt;"",'G2 MT Reading Scoresheet'!U78,"")</f>
        <v/>
      </c>
      <c r="V78" s="264"/>
      <c r="Y78" s="218" t="str">
        <f t="shared" si="2"/>
        <v/>
      </c>
    </row>
    <row r="79" spans="1:25" ht="14.4" x14ac:dyDescent="0.3">
      <c r="A79" s="4">
        <f t="shared" si="1"/>
        <v>69</v>
      </c>
      <c r="B79" s="118" t="str">
        <f>IF('G2 MT Reading Scoresheet'!B79&lt;&gt;"",'G2 MT Reading Scoresheet'!B79,"")</f>
        <v/>
      </c>
      <c r="C79" s="133" t="str">
        <f>IF('G2 MT Reading Scoresheet'!C79&lt;&gt;"",'G2 MT Reading Scoresheet'!C79,"")</f>
        <v/>
      </c>
      <c r="D79" s="134" t="str">
        <f>IF('G2 MT Reading Scoresheet'!D79&lt;&gt;"",'G2 MT Reading Scoresheet'!D79,"")</f>
        <v/>
      </c>
      <c r="E79" s="135" t="str">
        <f>IF('G2 MT Reading Scoresheet'!E79&lt;&gt;"",'G2 MT Reading Scoresheet'!E79,"")</f>
        <v/>
      </c>
      <c r="F79" s="261" t="str">
        <f>IF('G2 MT Reading Scoresheet'!F79&lt;&gt;"",'G2 MT Reading Scoresheet'!F79,"")</f>
        <v/>
      </c>
      <c r="G79" s="255" t="str">
        <f>IF('G2 MT Reading Scoresheet'!G79&lt;&gt;"",'G2 MT Reading Scoresheet'!G79,"")</f>
        <v/>
      </c>
      <c r="H79" s="266" t="str">
        <f>IF('G2 MT Reading Scoresheet'!H79&lt;&gt;"",'G2 MT Reading Scoresheet'!H79,"")</f>
        <v/>
      </c>
      <c r="I79" s="81" t="str">
        <f>IF('G2 MT Reading Scoresheet'!I79&lt;&gt;"",'G2 MT Reading Scoresheet'!I79,"")</f>
        <v/>
      </c>
      <c r="J79" s="82" t="str">
        <f>IF('G2 MT Reading Scoresheet'!J79&lt;&gt;"",'G2 MT Reading Scoresheet'!J79,"")</f>
        <v/>
      </c>
      <c r="K79" s="267" t="str">
        <f>IF('G2 MT Reading Scoresheet'!K79&lt;&gt;"",'G2 MT Reading Scoresheet'!K79,"")</f>
        <v/>
      </c>
      <c r="L79" s="268" t="str">
        <f>IF('G2 MT Reading Scoresheet'!L79&lt;&gt;"",'G2 MT Reading Scoresheet'!L79,"")</f>
        <v/>
      </c>
      <c r="M79" s="118" t="str">
        <f>IF('G2 MT Reading Scoresheet'!M79&lt;&gt;"",'G2 MT Reading Scoresheet'!M79,"")</f>
        <v/>
      </c>
      <c r="N79" s="266" t="str">
        <f>IF('G2 MT Reading Scoresheet'!N79&lt;&gt;"",'G2 MT Reading Scoresheet'!N79,"")</f>
        <v/>
      </c>
      <c r="O79" s="266" t="str">
        <f>IF('G2 MT Reading Scoresheet'!O79&lt;&gt;"",'G2 MT Reading Scoresheet'!O79,"")</f>
        <v/>
      </c>
      <c r="P79" s="118" t="str">
        <f>IF('G2 MT Reading Scoresheet'!P79&lt;&gt;"",'G2 MT Reading Scoresheet'!P79,"")</f>
        <v/>
      </c>
      <c r="Q79" s="122" t="str">
        <f>IF('G2 MT Reading Scoresheet'!Q79&lt;&gt;"",'G2 MT Reading Scoresheet'!Q79,"")</f>
        <v/>
      </c>
      <c r="R79" s="266" t="str">
        <f>IF('G2 MT Reading Scoresheet'!R79&lt;&gt;"",'G2 MT Reading Scoresheet'!R79,"")</f>
        <v/>
      </c>
      <c r="S79" s="266" t="str">
        <f>IF('G2 MT Reading Scoresheet'!S79&lt;&gt;"",'G2 MT Reading Scoresheet'!S79,"")</f>
        <v/>
      </c>
      <c r="T79" s="269" t="str">
        <f>IF('G2 MT Reading Scoresheet'!T79&lt;&gt;"",'G2 MT Reading Scoresheet'!T79,"")</f>
        <v/>
      </c>
      <c r="U79" s="87" t="str">
        <f>IF('G2 MT Reading Scoresheet'!U79&lt;&gt;"",'G2 MT Reading Scoresheet'!U79,"")</f>
        <v/>
      </c>
      <c r="V79" s="270"/>
      <c r="Y79" s="218" t="str">
        <f t="shared" si="2"/>
        <v/>
      </c>
    </row>
    <row r="80" spans="1:25" ht="14.4" x14ac:dyDescent="0.3">
      <c r="A80" s="5">
        <f t="shared" si="1"/>
        <v>70</v>
      </c>
      <c r="B80" s="118" t="str">
        <f>IF('G2 MT Reading Scoresheet'!B80&lt;&gt;"",'G2 MT Reading Scoresheet'!B80,"")</f>
        <v/>
      </c>
      <c r="C80" s="133" t="str">
        <f>IF('G2 MT Reading Scoresheet'!C80&lt;&gt;"",'G2 MT Reading Scoresheet'!C80,"")</f>
        <v/>
      </c>
      <c r="D80" s="134" t="str">
        <f>IF('G2 MT Reading Scoresheet'!D80&lt;&gt;"",'G2 MT Reading Scoresheet'!D80,"")</f>
        <v/>
      </c>
      <c r="E80" s="135" t="str">
        <f>IF('G2 MT Reading Scoresheet'!E80&lt;&gt;"",'G2 MT Reading Scoresheet'!E80,"")</f>
        <v/>
      </c>
      <c r="F80" s="265" t="str">
        <f>IF('G2 MT Reading Scoresheet'!F80&lt;&gt;"",'G2 MT Reading Scoresheet'!F80,"")</f>
        <v/>
      </c>
      <c r="G80" s="262" t="str">
        <f>IF('G2 MT Reading Scoresheet'!G80&lt;&gt;"",'G2 MT Reading Scoresheet'!G80,"")</f>
        <v/>
      </c>
      <c r="H80" s="81" t="str">
        <f>IF('G2 MT Reading Scoresheet'!H80&lt;&gt;"",'G2 MT Reading Scoresheet'!H80,"")</f>
        <v/>
      </c>
      <c r="I80" s="81" t="str">
        <f>IF('G2 MT Reading Scoresheet'!I80&lt;&gt;"",'G2 MT Reading Scoresheet'!I80,"")</f>
        <v/>
      </c>
      <c r="J80" s="82" t="str">
        <f>IF('G2 MT Reading Scoresheet'!J80&lt;&gt;"",'G2 MT Reading Scoresheet'!J80,"")</f>
        <v/>
      </c>
      <c r="K80" s="263" t="str">
        <f>IF('G2 MT Reading Scoresheet'!K80&lt;&gt;"",'G2 MT Reading Scoresheet'!K80,"")</f>
        <v/>
      </c>
      <c r="L80" s="87" t="str">
        <f>IF('G2 MT Reading Scoresheet'!L80&lt;&gt;"",'G2 MT Reading Scoresheet'!L80,"")</f>
        <v/>
      </c>
      <c r="M80" s="118" t="str">
        <f>IF('G2 MT Reading Scoresheet'!M80&lt;&gt;"",'G2 MT Reading Scoresheet'!M80,"")</f>
        <v/>
      </c>
      <c r="N80" s="81" t="str">
        <f>IF('G2 MT Reading Scoresheet'!N80&lt;&gt;"",'G2 MT Reading Scoresheet'!N80,"")</f>
        <v/>
      </c>
      <c r="O80" s="81" t="str">
        <f>IF('G2 MT Reading Scoresheet'!O80&lt;&gt;"",'G2 MT Reading Scoresheet'!O80,"")</f>
        <v/>
      </c>
      <c r="P80" s="118" t="str">
        <f>IF('G2 MT Reading Scoresheet'!P80&lt;&gt;"",'G2 MT Reading Scoresheet'!P80,"")</f>
        <v/>
      </c>
      <c r="Q80" s="122" t="str">
        <f>IF('G2 MT Reading Scoresheet'!Q80&lt;&gt;"",'G2 MT Reading Scoresheet'!Q80,"")</f>
        <v/>
      </c>
      <c r="R80" s="81" t="str">
        <f>IF('G2 MT Reading Scoresheet'!R80&lt;&gt;"",'G2 MT Reading Scoresheet'!R80,"")</f>
        <v/>
      </c>
      <c r="S80" s="81" t="str">
        <f>IF('G2 MT Reading Scoresheet'!S80&lt;&gt;"",'G2 MT Reading Scoresheet'!S80,"")</f>
        <v/>
      </c>
      <c r="T80" s="82" t="str">
        <f>IF('G2 MT Reading Scoresheet'!T80&lt;&gt;"",'G2 MT Reading Scoresheet'!T80,"")</f>
        <v/>
      </c>
      <c r="U80" s="87" t="str">
        <f>IF('G2 MT Reading Scoresheet'!U80&lt;&gt;"",'G2 MT Reading Scoresheet'!U80,"")</f>
        <v/>
      </c>
      <c r="V80" s="264"/>
      <c r="Y80" s="218" t="str">
        <f t="shared" si="2"/>
        <v/>
      </c>
    </row>
    <row r="81" spans="1:25" ht="14.4" x14ac:dyDescent="0.3">
      <c r="A81" s="4">
        <f t="shared" si="1"/>
        <v>71</v>
      </c>
      <c r="B81" s="118" t="str">
        <f>IF('G2 MT Reading Scoresheet'!B81&lt;&gt;"",'G2 MT Reading Scoresheet'!B81,"")</f>
        <v/>
      </c>
      <c r="C81" s="133" t="str">
        <f>IF('G2 MT Reading Scoresheet'!C81&lt;&gt;"",'G2 MT Reading Scoresheet'!C81,"")</f>
        <v/>
      </c>
      <c r="D81" s="134" t="str">
        <f>IF('G2 MT Reading Scoresheet'!D81&lt;&gt;"",'G2 MT Reading Scoresheet'!D81,"")</f>
        <v/>
      </c>
      <c r="E81" s="135" t="str">
        <f>IF('G2 MT Reading Scoresheet'!E81&lt;&gt;"",'G2 MT Reading Scoresheet'!E81,"")</f>
        <v/>
      </c>
      <c r="F81" s="261" t="str">
        <f>IF('G2 MT Reading Scoresheet'!F81&lt;&gt;"",'G2 MT Reading Scoresheet'!F81,"")</f>
        <v/>
      </c>
      <c r="G81" s="255" t="str">
        <f>IF('G2 MT Reading Scoresheet'!G81&lt;&gt;"",'G2 MT Reading Scoresheet'!G81,"")</f>
        <v/>
      </c>
      <c r="H81" s="266" t="str">
        <f>IF('G2 MT Reading Scoresheet'!H81&lt;&gt;"",'G2 MT Reading Scoresheet'!H81,"")</f>
        <v/>
      </c>
      <c r="I81" s="81" t="str">
        <f>IF('G2 MT Reading Scoresheet'!I81&lt;&gt;"",'G2 MT Reading Scoresheet'!I81,"")</f>
        <v/>
      </c>
      <c r="J81" s="82" t="str">
        <f>IF('G2 MT Reading Scoresheet'!J81&lt;&gt;"",'G2 MT Reading Scoresheet'!J81,"")</f>
        <v/>
      </c>
      <c r="K81" s="267" t="str">
        <f>IF('G2 MT Reading Scoresheet'!K81&lt;&gt;"",'G2 MT Reading Scoresheet'!K81,"")</f>
        <v/>
      </c>
      <c r="L81" s="268" t="str">
        <f>IF('G2 MT Reading Scoresheet'!L81&lt;&gt;"",'G2 MT Reading Scoresheet'!L81,"")</f>
        <v/>
      </c>
      <c r="M81" s="118" t="str">
        <f>IF('G2 MT Reading Scoresheet'!M81&lt;&gt;"",'G2 MT Reading Scoresheet'!M81,"")</f>
        <v/>
      </c>
      <c r="N81" s="266" t="str">
        <f>IF('G2 MT Reading Scoresheet'!N81&lt;&gt;"",'G2 MT Reading Scoresheet'!N81,"")</f>
        <v/>
      </c>
      <c r="O81" s="266" t="str">
        <f>IF('G2 MT Reading Scoresheet'!O81&lt;&gt;"",'G2 MT Reading Scoresheet'!O81,"")</f>
        <v/>
      </c>
      <c r="P81" s="118" t="str">
        <f>IF('G2 MT Reading Scoresheet'!P81&lt;&gt;"",'G2 MT Reading Scoresheet'!P81,"")</f>
        <v/>
      </c>
      <c r="Q81" s="122" t="str">
        <f>IF('G2 MT Reading Scoresheet'!Q81&lt;&gt;"",'G2 MT Reading Scoresheet'!Q81,"")</f>
        <v/>
      </c>
      <c r="R81" s="266" t="str">
        <f>IF('G2 MT Reading Scoresheet'!R81&lt;&gt;"",'G2 MT Reading Scoresheet'!R81,"")</f>
        <v/>
      </c>
      <c r="S81" s="266" t="str">
        <f>IF('G2 MT Reading Scoresheet'!S81&lt;&gt;"",'G2 MT Reading Scoresheet'!S81,"")</f>
        <v/>
      </c>
      <c r="T81" s="269" t="str">
        <f>IF('G2 MT Reading Scoresheet'!T81&lt;&gt;"",'G2 MT Reading Scoresheet'!T81,"")</f>
        <v/>
      </c>
      <c r="U81" s="87" t="str">
        <f>IF('G2 MT Reading Scoresheet'!U81&lt;&gt;"",'G2 MT Reading Scoresheet'!U81,"")</f>
        <v/>
      </c>
      <c r="V81" s="270"/>
      <c r="Y81" s="218" t="str">
        <f t="shared" si="2"/>
        <v/>
      </c>
    </row>
    <row r="82" spans="1:25" ht="14.4" x14ac:dyDescent="0.3">
      <c r="A82" s="5">
        <f t="shared" si="1"/>
        <v>72</v>
      </c>
      <c r="B82" s="118" t="str">
        <f>IF('G2 MT Reading Scoresheet'!B82&lt;&gt;"",'G2 MT Reading Scoresheet'!B82,"")</f>
        <v/>
      </c>
      <c r="C82" s="133" t="str">
        <f>IF('G2 MT Reading Scoresheet'!C82&lt;&gt;"",'G2 MT Reading Scoresheet'!C82,"")</f>
        <v/>
      </c>
      <c r="D82" s="134" t="str">
        <f>IF('G2 MT Reading Scoresheet'!D82&lt;&gt;"",'G2 MT Reading Scoresheet'!D82,"")</f>
        <v/>
      </c>
      <c r="E82" s="135" t="str">
        <f>IF('G2 MT Reading Scoresheet'!E82&lt;&gt;"",'G2 MT Reading Scoresheet'!E82,"")</f>
        <v/>
      </c>
      <c r="F82" s="265" t="str">
        <f>IF('G2 MT Reading Scoresheet'!F82&lt;&gt;"",'G2 MT Reading Scoresheet'!F82,"")</f>
        <v/>
      </c>
      <c r="G82" s="262" t="str">
        <f>IF('G2 MT Reading Scoresheet'!G82&lt;&gt;"",'G2 MT Reading Scoresheet'!G82,"")</f>
        <v/>
      </c>
      <c r="H82" s="81" t="str">
        <f>IF('G2 MT Reading Scoresheet'!H82&lt;&gt;"",'G2 MT Reading Scoresheet'!H82,"")</f>
        <v/>
      </c>
      <c r="I82" s="81" t="str">
        <f>IF('G2 MT Reading Scoresheet'!I82&lt;&gt;"",'G2 MT Reading Scoresheet'!I82,"")</f>
        <v/>
      </c>
      <c r="J82" s="82" t="str">
        <f>IF('G2 MT Reading Scoresheet'!J82&lt;&gt;"",'G2 MT Reading Scoresheet'!J82,"")</f>
        <v/>
      </c>
      <c r="K82" s="263" t="str">
        <f>IF('G2 MT Reading Scoresheet'!K82&lt;&gt;"",'G2 MT Reading Scoresheet'!K82,"")</f>
        <v/>
      </c>
      <c r="L82" s="87" t="str">
        <f>IF('G2 MT Reading Scoresheet'!L82&lt;&gt;"",'G2 MT Reading Scoresheet'!L82,"")</f>
        <v/>
      </c>
      <c r="M82" s="118" t="str">
        <f>IF('G2 MT Reading Scoresheet'!M82&lt;&gt;"",'G2 MT Reading Scoresheet'!M82,"")</f>
        <v/>
      </c>
      <c r="N82" s="81" t="str">
        <f>IF('G2 MT Reading Scoresheet'!N82&lt;&gt;"",'G2 MT Reading Scoresheet'!N82,"")</f>
        <v/>
      </c>
      <c r="O82" s="81" t="str">
        <f>IF('G2 MT Reading Scoresheet'!O82&lt;&gt;"",'G2 MT Reading Scoresheet'!O82,"")</f>
        <v/>
      </c>
      <c r="P82" s="118" t="str">
        <f>IF('G2 MT Reading Scoresheet'!P82&lt;&gt;"",'G2 MT Reading Scoresheet'!P82,"")</f>
        <v/>
      </c>
      <c r="Q82" s="122" t="str">
        <f>IF('G2 MT Reading Scoresheet'!Q82&lt;&gt;"",'G2 MT Reading Scoresheet'!Q82,"")</f>
        <v/>
      </c>
      <c r="R82" s="81" t="str">
        <f>IF('G2 MT Reading Scoresheet'!R82&lt;&gt;"",'G2 MT Reading Scoresheet'!R82,"")</f>
        <v/>
      </c>
      <c r="S82" s="81" t="str">
        <f>IF('G2 MT Reading Scoresheet'!S82&lt;&gt;"",'G2 MT Reading Scoresheet'!S82,"")</f>
        <v/>
      </c>
      <c r="T82" s="82" t="str">
        <f>IF('G2 MT Reading Scoresheet'!T82&lt;&gt;"",'G2 MT Reading Scoresheet'!T82,"")</f>
        <v/>
      </c>
      <c r="U82" s="87" t="str">
        <f>IF('G2 MT Reading Scoresheet'!U82&lt;&gt;"",'G2 MT Reading Scoresheet'!U82,"")</f>
        <v/>
      </c>
      <c r="V82" s="264"/>
      <c r="Y82" s="218" t="str">
        <f t="shared" si="2"/>
        <v/>
      </c>
    </row>
    <row r="83" spans="1:25" ht="14.4" x14ac:dyDescent="0.3">
      <c r="A83" s="4">
        <f t="shared" si="1"/>
        <v>73</v>
      </c>
      <c r="B83" s="118" t="str">
        <f>IF('G2 MT Reading Scoresheet'!B83&lt;&gt;"",'G2 MT Reading Scoresheet'!B83,"")</f>
        <v/>
      </c>
      <c r="C83" s="133" t="str">
        <f>IF('G2 MT Reading Scoresheet'!C83&lt;&gt;"",'G2 MT Reading Scoresheet'!C83,"")</f>
        <v/>
      </c>
      <c r="D83" s="134" t="str">
        <f>IF('G2 MT Reading Scoresheet'!D83&lt;&gt;"",'G2 MT Reading Scoresheet'!D83,"")</f>
        <v/>
      </c>
      <c r="E83" s="135" t="str">
        <f>IF('G2 MT Reading Scoresheet'!E83&lt;&gt;"",'G2 MT Reading Scoresheet'!E83,"")</f>
        <v/>
      </c>
      <c r="F83" s="261" t="str">
        <f>IF('G2 MT Reading Scoresheet'!F83&lt;&gt;"",'G2 MT Reading Scoresheet'!F83,"")</f>
        <v/>
      </c>
      <c r="G83" s="255" t="str">
        <f>IF('G2 MT Reading Scoresheet'!G83&lt;&gt;"",'G2 MT Reading Scoresheet'!G83,"")</f>
        <v/>
      </c>
      <c r="H83" s="266" t="str">
        <f>IF('G2 MT Reading Scoresheet'!H83&lt;&gt;"",'G2 MT Reading Scoresheet'!H83,"")</f>
        <v/>
      </c>
      <c r="I83" s="81" t="str">
        <f>IF('G2 MT Reading Scoresheet'!I83&lt;&gt;"",'G2 MT Reading Scoresheet'!I83,"")</f>
        <v/>
      </c>
      <c r="J83" s="82" t="str">
        <f>IF('G2 MT Reading Scoresheet'!J83&lt;&gt;"",'G2 MT Reading Scoresheet'!J83,"")</f>
        <v/>
      </c>
      <c r="K83" s="267" t="str">
        <f>IF('G2 MT Reading Scoresheet'!K83&lt;&gt;"",'G2 MT Reading Scoresheet'!K83,"")</f>
        <v/>
      </c>
      <c r="L83" s="268" t="str">
        <f>IF('G2 MT Reading Scoresheet'!L83&lt;&gt;"",'G2 MT Reading Scoresheet'!L83,"")</f>
        <v/>
      </c>
      <c r="M83" s="118" t="str">
        <f>IF('G2 MT Reading Scoresheet'!M83&lt;&gt;"",'G2 MT Reading Scoresheet'!M83,"")</f>
        <v/>
      </c>
      <c r="N83" s="266" t="str">
        <f>IF('G2 MT Reading Scoresheet'!N83&lt;&gt;"",'G2 MT Reading Scoresheet'!N83,"")</f>
        <v/>
      </c>
      <c r="O83" s="266" t="str">
        <f>IF('G2 MT Reading Scoresheet'!O83&lt;&gt;"",'G2 MT Reading Scoresheet'!O83,"")</f>
        <v/>
      </c>
      <c r="P83" s="118" t="str">
        <f>IF('G2 MT Reading Scoresheet'!P83&lt;&gt;"",'G2 MT Reading Scoresheet'!P83,"")</f>
        <v/>
      </c>
      <c r="Q83" s="122" t="str">
        <f>IF('G2 MT Reading Scoresheet'!Q83&lt;&gt;"",'G2 MT Reading Scoresheet'!Q83,"")</f>
        <v/>
      </c>
      <c r="R83" s="266" t="str">
        <f>IF('G2 MT Reading Scoresheet'!R83&lt;&gt;"",'G2 MT Reading Scoresheet'!R83,"")</f>
        <v/>
      </c>
      <c r="S83" s="266" t="str">
        <f>IF('G2 MT Reading Scoresheet'!S83&lt;&gt;"",'G2 MT Reading Scoresheet'!S83,"")</f>
        <v/>
      </c>
      <c r="T83" s="269" t="str">
        <f>IF('G2 MT Reading Scoresheet'!T83&lt;&gt;"",'G2 MT Reading Scoresheet'!T83,"")</f>
        <v/>
      </c>
      <c r="U83" s="87" t="str">
        <f>IF('G2 MT Reading Scoresheet'!U83&lt;&gt;"",'G2 MT Reading Scoresheet'!U83,"")</f>
        <v/>
      </c>
      <c r="V83" s="270"/>
      <c r="Y83" s="218" t="str">
        <f t="shared" si="2"/>
        <v/>
      </c>
    </row>
    <row r="84" spans="1:25" ht="14.4" x14ac:dyDescent="0.3">
      <c r="A84" s="5">
        <f t="shared" si="1"/>
        <v>74</v>
      </c>
      <c r="B84" s="118" t="str">
        <f>IF('G2 MT Reading Scoresheet'!B84&lt;&gt;"",'G2 MT Reading Scoresheet'!B84,"")</f>
        <v/>
      </c>
      <c r="C84" s="133" t="str">
        <f>IF('G2 MT Reading Scoresheet'!C84&lt;&gt;"",'G2 MT Reading Scoresheet'!C84,"")</f>
        <v/>
      </c>
      <c r="D84" s="134" t="str">
        <f>IF('G2 MT Reading Scoresheet'!D84&lt;&gt;"",'G2 MT Reading Scoresheet'!D84,"")</f>
        <v/>
      </c>
      <c r="E84" s="135" t="str">
        <f>IF('G2 MT Reading Scoresheet'!E84&lt;&gt;"",'G2 MT Reading Scoresheet'!E84,"")</f>
        <v/>
      </c>
      <c r="F84" s="265" t="str">
        <f>IF('G2 MT Reading Scoresheet'!F84&lt;&gt;"",'G2 MT Reading Scoresheet'!F84,"")</f>
        <v/>
      </c>
      <c r="G84" s="262" t="str">
        <f>IF('G2 MT Reading Scoresheet'!G84&lt;&gt;"",'G2 MT Reading Scoresheet'!G84,"")</f>
        <v/>
      </c>
      <c r="H84" s="81" t="str">
        <f>IF('G2 MT Reading Scoresheet'!H84&lt;&gt;"",'G2 MT Reading Scoresheet'!H84,"")</f>
        <v/>
      </c>
      <c r="I84" s="81" t="str">
        <f>IF('G2 MT Reading Scoresheet'!I84&lt;&gt;"",'G2 MT Reading Scoresheet'!I84,"")</f>
        <v/>
      </c>
      <c r="J84" s="82" t="str">
        <f>IF('G2 MT Reading Scoresheet'!J84&lt;&gt;"",'G2 MT Reading Scoresheet'!J84,"")</f>
        <v/>
      </c>
      <c r="K84" s="263" t="str">
        <f>IF('G2 MT Reading Scoresheet'!K84&lt;&gt;"",'G2 MT Reading Scoresheet'!K84,"")</f>
        <v/>
      </c>
      <c r="L84" s="87" t="str">
        <f>IF('G2 MT Reading Scoresheet'!L84&lt;&gt;"",'G2 MT Reading Scoresheet'!L84,"")</f>
        <v/>
      </c>
      <c r="M84" s="118" t="str">
        <f>IF('G2 MT Reading Scoresheet'!M84&lt;&gt;"",'G2 MT Reading Scoresheet'!M84,"")</f>
        <v/>
      </c>
      <c r="N84" s="81" t="str">
        <f>IF('G2 MT Reading Scoresheet'!N84&lt;&gt;"",'G2 MT Reading Scoresheet'!N84,"")</f>
        <v/>
      </c>
      <c r="O84" s="81" t="str">
        <f>IF('G2 MT Reading Scoresheet'!O84&lt;&gt;"",'G2 MT Reading Scoresheet'!O84,"")</f>
        <v/>
      </c>
      <c r="P84" s="118" t="str">
        <f>IF('G2 MT Reading Scoresheet'!P84&lt;&gt;"",'G2 MT Reading Scoresheet'!P84,"")</f>
        <v/>
      </c>
      <c r="Q84" s="122" t="str">
        <f>IF('G2 MT Reading Scoresheet'!Q84&lt;&gt;"",'G2 MT Reading Scoresheet'!Q84,"")</f>
        <v/>
      </c>
      <c r="R84" s="81" t="str">
        <f>IF('G2 MT Reading Scoresheet'!R84&lt;&gt;"",'G2 MT Reading Scoresheet'!R84,"")</f>
        <v/>
      </c>
      <c r="S84" s="81" t="str">
        <f>IF('G2 MT Reading Scoresheet'!S84&lt;&gt;"",'G2 MT Reading Scoresheet'!S84,"")</f>
        <v/>
      </c>
      <c r="T84" s="82" t="str">
        <f>IF('G2 MT Reading Scoresheet'!T84&lt;&gt;"",'G2 MT Reading Scoresheet'!T84,"")</f>
        <v/>
      </c>
      <c r="U84" s="87" t="str">
        <f>IF('G2 MT Reading Scoresheet'!U84&lt;&gt;"",'G2 MT Reading Scoresheet'!U84,"")</f>
        <v/>
      </c>
      <c r="V84" s="264"/>
      <c r="Y84" s="218" t="str">
        <f t="shared" si="2"/>
        <v/>
      </c>
    </row>
    <row r="85" spans="1:25" ht="14.4" x14ac:dyDescent="0.3">
      <c r="A85" s="4">
        <f t="shared" si="1"/>
        <v>75</v>
      </c>
      <c r="B85" s="118" t="str">
        <f>IF('G2 MT Reading Scoresheet'!B85&lt;&gt;"",'G2 MT Reading Scoresheet'!B85,"")</f>
        <v/>
      </c>
      <c r="C85" s="133" t="str">
        <f>IF('G2 MT Reading Scoresheet'!C85&lt;&gt;"",'G2 MT Reading Scoresheet'!C85,"")</f>
        <v/>
      </c>
      <c r="D85" s="134" t="str">
        <f>IF('G2 MT Reading Scoresheet'!D85&lt;&gt;"",'G2 MT Reading Scoresheet'!D85,"")</f>
        <v/>
      </c>
      <c r="E85" s="135" t="str">
        <f>IF('G2 MT Reading Scoresheet'!E85&lt;&gt;"",'G2 MT Reading Scoresheet'!E85,"")</f>
        <v/>
      </c>
      <c r="F85" s="261" t="str">
        <f>IF('G2 MT Reading Scoresheet'!F85&lt;&gt;"",'G2 MT Reading Scoresheet'!F85,"")</f>
        <v/>
      </c>
      <c r="G85" s="255" t="str">
        <f>IF('G2 MT Reading Scoresheet'!G85&lt;&gt;"",'G2 MT Reading Scoresheet'!G85,"")</f>
        <v/>
      </c>
      <c r="H85" s="266" t="str">
        <f>IF('G2 MT Reading Scoresheet'!H85&lt;&gt;"",'G2 MT Reading Scoresheet'!H85,"")</f>
        <v/>
      </c>
      <c r="I85" s="81" t="str">
        <f>IF('G2 MT Reading Scoresheet'!I85&lt;&gt;"",'G2 MT Reading Scoresheet'!I85,"")</f>
        <v/>
      </c>
      <c r="J85" s="82" t="str">
        <f>IF('G2 MT Reading Scoresheet'!J85&lt;&gt;"",'G2 MT Reading Scoresheet'!J85,"")</f>
        <v/>
      </c>
      <c r="K85" s="267" t="str">
        <f>IF('G2 MT Reading Scoresheet'!K85&lt;&gt;"",'G2 MT Reading Scoresheet'!K85,"")</f>
        <v/>
      </c>
      <c r="L85" s="268" t="str">
        <f>IF('G2 MT Reading Scoresheet'!L85&lt;&gt;"",'G2 MT Reading Scoresheet'!L85,"")</f>
        <v/>
      </c>
      <c r="M85" s="118" t="str">
        <f>IF('G2 MT Reading Scoresheet'!M85&lt;&gt;"",'G2 MT Reading Scoresheet'!M85,"")</f>
        <v/>
      </c>
      <c r="N85" s="266" t="str">
        <f>IF('G2 MT Reading Scoresheet'!N85&lt;&gt;"",'G2 MT Reading Scoresheet'!N85,"")</f>
        <v/>
      </c>
      <c r="O85" s="266" t="str">
        <f>IF('G2 MT Reading Scoresheet'!O85&lt;&gt;"",'G2 MT Reading Scoresheet'!O85,"")</f>
        <v/>
      </c>
      <c r="P85" s="118" t="str">
        <f>IF('G2 MT Reading Scoresheet'!P85&lt;&gt;"",'G2 MT Reading Scoresheet'!P85,"")</f>
        <v/>
      </c>
      <c r="Q85" s="122" t="str">
        <f>IF('G2 MT Reading Scoresheet'!Q85&lt;&gt;"",'G2 MT Reading Scoresheet'!Q85,"")</f>
        <v/>
      </c>
      <c r="R85" s="266" t="str">
        <f>IF('G2 MT Reading Scoresheet'!R85&lt;&gt;"",'G2 MT Reading Scoresheet'!R85,"")</f>
        <v/>
      </c>
      <c r="S85" s="266" t="str">
        <f>IF('G2 MT Reading Scoresheet'!S85&lt;&gt;"",'G2 MT Reading Scoresheet'!S85,"")</f>
        <v/>
      </c>
      <c r="T85" s="269" t="str">
        <f>IF('G2 MT Reading Scoresheet'!T85&lt;&gt;"",'G2 MT Reading Scoresheet'!T85,"")</f>
        <v/>
      </c>
      <c r="U85" s="87" t="str">
        <f>IF('G2 MT Reading Scoresheet'!U85&lt;&gt;"",'G2 MT Reading Scoresheet'!U85,"")</f>
        <v/>
      </c>
      <c r="V85" s="270"/>
      <c r="Y85" s="218" t="str">
        <f t="shared" si="2"/>
        <v/>
      </c>
    </row>
    <row r="86" spans="1:25" ht="14.4" x14ac:dyDescent="0.3">
      <c r="A86" s="5">
        <f t="shared" si="1"/>
        <v>76</v>
      </c>
      <c r="B86" s="118" t="str">
        <f>IF('G2 MT Reading Scoresheet'!B86&lt;&gt;"",'G2 MT Reading Scoresheet'!B86,"")</f>
        <v/>
      </c>
      <c r="C86" s="133" t="str">
        <f>IF('G2 MT Reading Scoresheet'!C86&lt;&gt;"",'G2 MT Reading Scoresheet'!C86,"")</f>
        <v/>
      </c>
      <c r="D86" s="134" t="str">
        <f>IF('G2 MT Reading Scoresheet'!D86&lt;&gt;"",'G2 MT Reading Scoresheet'!D86,"")</f>
        <v/>
      </c>
      <c r="E86" s="135" t="str">
        <f>IF('G2 MT Reading Scoresheet'!E86&lt;&gt;"",'G2 MT Reading Scoresheet'!E86,"")</f>
        <v/>
      </c>
      <c r="F86" s="265" t="str">
        <f>IF('G2 MT Reading Scoresheet'!F86&lt;&gt;"",'G2 MT Reading Scoresheet'!F86,"")</f>
        <v/>
      </c>
      <c r="G86" s="262" t="str">
        <f>IF('G2 MT Reading Scoresheet'!G86&lt;&gt;"",'G2 MT Reading Scoresheet'!G86,"")</f>
        <v/>
      </c>
      <c r="H86" s="81" t="str">
        <f>IF('G2 MT Reading Scoresheet'!H86&lt;&gt;"",'G2 MT Reading Scoresheet'!H86,"")</f>
        <v/>
      </c>
      <c r="I86" s="81" t="str">
        <f>IF('G2 MT Reading Scoresheet'!I86&lt;&gt;"",'G2 MT Reading Scoresheet'!I86,"")</f>
        <v/>
      </c>
      <c r="J86" s="82" t="str">
        <f>IF('G2 MT Reading Scoresheet'!J86&lt;&gt;"",'G2 MT Reading Scoresheet'!J86,"")</f>
        <v/>
      </c>
      <c r="K86" s="263" t="str">
        <f>IF('G2 MT Reading Scoresheet'!K86&lt;&gt;"",'G2 MT Reading Scoresheet'!K86,"")</f>
        <v/>
      </c>
      <c r="L86" s="87" t="str">
        <f>IF('G2 MT Reading Scoresheet'!L86&lt;&gt;"",'G2 MT Reading Scoresheet'!L86,"")</f>
        <v/>
      </c>
      <c r="M86" s="118" t="str">
        <f>IF('G2 MT Reading Scoresheet'!M86&lt;&gt;"",'G2 MT Reading Scoresheet'!M86,"")</f>
        <v/>
      </c>
      <c r="N86" s="81" t="str">
        <f>IF('G2 MT Reading Scoresheet'!N86&lt;&gt;"",'G2 MT Reading Scoresheet'!N86,"")</f>
        <v/>
      </c>
      <c r="O86" s="81" t="str">
        <f>IF('G2 MT Reading Scoresheet'!O86&lt;&gt;"",'G2 MT Reading Scoresheet'!O86,"")</f>
        <v/>
      </c>
      <c r="P86" s="118" t="str">
        <f>IF('G2 MT Reading Scoresheet'!P86&lt;&gt;"",'G2 MT Reading Scoresheet'!P86,"")</f>
        <v/>
      </c>
      <c r="Q86" s="122" t="str">
        <f>IF('G2 MT Reading Scoresheet'!Q86&lt;&gt;"",'G2 MT Reading Scoresheet'!Q86,"")</f>
        <v/>
      </c>
      <c r="R86" s="81" t="str">
        <f>IF('G2 MT Reading Scoresheet'!R86&lt;&gt;"",'G2 MT Reading Scoresheet'!R86,"")</f>
        <v/>
      </c>
      <c r="S86" s="81" t="str">
        <f>IF('G2 MT Reading Scoresheet'!S86&lt;&gt;"",'G2 MT Reading Scoresheet'!S86,"")</f>
        <v/>
      </c>
      <c r="T86" s="82" t="str">
        <f>IF('G2 MT Reading Scoresheet'!T86&lt;&gt;"",'G2 MT Reading Scoresheet'!T86,"")</f>
        <v/>
      </c>
      <c r="U86" s="87" t="str">
        <f>IF('G2 MT Reading Scoresheet'!U86&lt;&gt;"",'G2 MT Reading Scoresheet'!U86,"")</f>
        <v/>
      </c>
      <c r="V86" s="264"/>
      <c r="Y86" s="218" t="str">
        <f t="shared" si="2"/>
        <v/>
      </c>
    </row>
    <row r="87" spans="1:25" ht="14.4" x14ac:dyDescent="0.3">
      <c r="A87" s="4">
        <f t="shared" si="1"/>
        <v>77</v>
      </c>
      <c r="B87" s="118" t="str">
        <f>IF('G2 MT Reading Scoresheet'!B87&lt;&gt;"",'G2 MT Reading Scoresheet'!B87,"")</f>
        <v/>
      </c>
      <c r="C87" s="133" t="str">
        <f>IF('G2 MT Reading Scoresheet'!C87&lt;&gt;"",'G2 MT Reading Scoresheet'!C87,"")</f>
        <v/>
      </c>
      <c r="D87" s="134" t="str">
        <f>IF('G2 MT Reading Scoresheet'!D87&lt;&gt;"",'G2 MT Reading Scoresheet'!D87,"")</f>
        <v/>
      </c>
      <c r="E87" s="135" t="str">
        <f>IF('G2 MT Reading Scoresheet'!E87&lt;&gt;"",'G2 MT Reading Scoresheet'!E87,"")</f>
        <v/>
      </c>
      <c r="F87" s="261" t="str">
        <f>IF('G2 MT Reading Scoresheet'!F87&lt;&gt;"",'G2 MT Reading Scoresheet'!F87,"")</f>
        <v/>
      </c>
      <c r="G87" s="255" t="str">
        <f>IF('G2 MT Reading Scoresheet'!G87&lt;&gt;"",'G2 MT Reading Scoresheet'!G87,"")</f>
        <v/>
      </c>
      <c r="H87" s="266" t="str">
        <f>IF('G2 MT Reading Scoresheet'!H87&lt;&gt;"",'G2 MT Reading Scoresheet'!H87,"")</f>
        <v/>
      </c>
      <c r="I87" s="81" t="str">
        <f>IF('G2 MT Reading Scoresheet'!I87&lt;&gt;"",'G2 MT Reading Scoresheet'!I87,"")</f>
        <v/>
      </c>
      <c r="J87" s="82" t="str">
        <f>IF('G2 MT Reading Scoresheet'!J87&lt;&gt;"",'G2 MT Reading Scoresheet'!J87,"")</f>
        <v/>
      </c>
      <c r="K87" s="267" t="str">
        <f>IF('G2 MT Reading Scoresheet'!K87&lt;&gt;"",'G2 MT Reading Scoresheet'!K87,"")</f>
        <v/>
      </c>
      <c r="L87" s="268" t="str">
        <f>IF('G2 MT Reading Scoresheet'!L87&lt;&gt;"",'G2 MT Reading Scoresheet'!L87,"")</f>
        <v/>
      </c>
      <c r="M87" s="118" t="str">
        <f>IF('G2 MT Reading Scoresheet'!M87&lt;&gt;"",'G2 MT Reading Scoresheet'!M87,"")</f>
        <v/>
      </c>
      <c r="N87" s="266" t="str">
        <f>IF('G2 MT Reading Scoresheet'!N87&lt;&gt;"",'G2 MT Reading Scoresheet'!N87,"")</f>
        <v/>
      </c>
      <c r="O87" s="266" t="str">
        <f>IF('G2 MT Reading Scoresheet'!O87&lt;&gt;"",'G2 MT Reading Scoresheet'!O87,"")</f>
        <v/>
      </c>
      <c r="P87" s="118" t="str">
        <f>IF('G2 MT Reading Scoresheet'!P87&lt;&gt;"",'G2 MT Reading Scoresheet'!P87,"")</f>
        <v/>
      </c>
      <c r="Q87" s="122" t="str">
        <f>IF('G2 MT Reading Scoresheet'!Q87&lt;&gt;"",'G2 MT Reading Scoresheet'!Q87,"")</f>
        <v/>
      </c>
      <c r="R87" s="266" t="str">
        <f>IF('G2 MT Reading Scoresheet'!R87&lt;&gt;"",'G2 MT Reading Scoresheet'!R87,"")</f>
        <v/>
      </c>
      <c r="S87" s="266" t="str">
        <f>IF('G2 MT Reading Scoresheet'!S87&lt;&gt;"",'G2 MT Reading Scoresheet'!S87,"")</f>
        <v/>
      </c>
      <c r="T87" s="269" t="str">
        <f>IF('G2 MT Reading Scoresheet'!T87&lt;&gt;"",'G2 MT Reading Scoresheet'!T87,"")</f>
        <v/>
      </c>
      <c r="U87" s="87" t="str">
        <f>IF('G2 MT Reading Scoresheet'!U87&lt;&gt;"",'G2 MT Reading Scoresheet'!U87,"")</f>
        <v/>
      </c>
      <c r="V87" s="270"/>
      <c r="Y87" s="218" t="str">
        <f t="shared" si="2"/>
        <v/>
      </c>
    </row>
    <row r="88" spans="1:25" ht="14.4" x14ac:dyDescent="0.3">
      <c r="A88" s="5">
        <f t="shared" si="1"/>
        <v>78</v>
      </c>
      <c r="B88" s="118" t="str">
        <f>IF('G2 MT Reading Scoresheet'!B88&lt;&gt;"",'G2 MT Reading Scoresheet'!B88,"")</f>
        <v/>
      </c>
      <c r="C88" s="133" t="str">
        <f>IF('G2 MT Reading Scoresheet'!C88&lt;&gt;"",'G2 MT Reading Scoresheet'!C88,"")</f>
        <v/>
      </c>
      <c r="D88" s="134" t="str">
        <f>IF('G2 MT Reading Scoresheet'!D88&lt;&gt;"",'G2 MT Reading Scoresheet'!D88,"")</f>
        <v/>
      </c>
      <c r="E88" s="135" t="str">
        <f>IF('G2 MT Reading Scoresheet'!E88&lt;&gt;"",'G2 MT Reading Scoresheet'!E88,"")</f>
        <v/>
      </c>
      <c r="F88" s="265" t="str">
        <f>IF('G2 MT Reading Scoresheet'!F88&lt;&gt;"",'G2 MT Reading Scoresheet'!F88,"")</f>
        <v/>
      </c>
      <c r="G88" s="262" t="str">
        <f>IF('G2 MT Reading Scoresheet'!G88&lt;&gt;"",'G2 MT Reading Scoresheet'!G88,"")</f>
        <v/>
      </c>
      <c r="H88" s="81" t="str">
        <f>IF('G2 MT Reading Scoresheet'!H88&lt;&gt;"",'G2 MT Reading Scoresheet'!H88,"")</f>
        <v/>
      </c>
      <c r="I88" s="81" t="str">
        <f>IF('G2 MT Reading Scoresheet'!I88&lt;&gt;"",'G2 MT Reading Scoresheet'!I88,"")</f>
        <v/>
      </c>
      <c r="J88" s="82" t="str">
        <f>IF('G2 MT Reading Scoresheet'!J88&lt;&gt;"",'G2 MT Reading Scoresheet'!J88,"")</f>
        <v/>
      </c>
      <c r="K88" s="263" t="str">
        <f>IF('G2 MT Reading Scoresheet'!K88&lt;&gt;"",'G2 MT Reading Scoresheet'!K88,"")</f>
        <v/>
      </c>
      <c r="L88" s="87" t="str">
        <f>IF('G2 MT Reading Scoresheet'!L88&lt;&gt;"",'G2 MT Reading Scoresheet'!L88,"")</f>
        <v/>
      </c>
      <c r="M88" s="118" t="str">
        <f>IF('G2 MT Reading Scoresheet'!M88&lt;&gt;"",'G2 MT Reading Scoresheet'!M88,"")</f>
        <v/>
      </c>
      <c r="N88" s="81" t="str">
        <f>IF('G2 MT Reading Scoresheet'!N88&lt;&gt;"",'G2 MT Reading Scoresheet'!N88,"")</f>
        <v/>
      </c>
      <c r="O88" s="81" t="str">
        <f>IF('G2 MT Reading Scoresheet'!O88&lt;&gt;"",'G2 MT Reading Scoresheet'!O88,"")</f>
        <v/>
      </c>
      <c r="P88" s="118" t="str">
        <f>IF('G2 MT Reading Scoresheet'!P88&lt;&gt;"",'G2 MT Reading Scoresheet'!P88,"")</f>
        <v/>
      </c>
      <c r="Q88" s="122" t="str">
        <f>IF('G2 MT Reading Scoresheet'!Q88&lt;&gt;"",'G2 MT Reading Scoresheet'!Q88,"")</f>
        <v/>
      </c>
      <c r="R88" s="81" t="str">
        <f>IF('G2 MT Reading Scoresheet'!R88&lt;&gt;"",'G2 MT Reading Scoresheet'!R88,"")</f>
        <v/>
      </c>
      <c r="S88" s="81" t="str">
        <f>IF('G2 MT Reading Scoresheet'!S88&lt;&gt;"",'G2 MT Reading Scoresheet'!S88,"")</f>
        <v/>
      </c>
      <c r="T88" s="82" t="str">
        <f>IF('G2 MT Reading Scoresheet'!T88&lt;&gt;"",'G2 MT Reading Scoresheet'!T88,"")</f>
        <v/>
      </c>
      <c r="U88" s="87" t="str">
        <f>IF('G2 MT Reading Scoresheet'!U88&lt;&gt;"",'G2 MT Reading Scoresheet'!U88,"")</f>
        <v/>
      </c>
      <c r="V88" s="264"/>
      <c r="Y88" s="218" t="str">
        <f t="shared" si="2"/>
        <v/>
      </c>
    </row>
    <row r="89" spans="1:25" ht="14.4" x14ac:dyDescent="0.3">
      <c r="A89" s="4">
        <f t="shared" si="1"/>
        <v>79</v>
      </c>
      <c r="B89" s="118" t="str">
        <f>IF('G2 MT Reading Scoresheet'!B89&lt;&gt;"",'G2 MT Reading Scoresheet'!B89,"")</f>
        <v/>
      </c>
      <c r="C89" s="133" t="str">
        <f>IF('G2 MT Reading Scoresheet'!C89&lt;&gt;"",'G2 MT Reading Scoresheet'!C89,"")</f>
        <v/>
      </c>
      <c r="D89" s="134" t="str">
        <f>IF('G2 MT Reading Scoresheet'!D89&lt;&gt;"",'G2 MT Reading Scoresheet'!D89,"")</f>
        <v/>
      </c>
      <c r="E89" s="135" t="str">
        <f>IF('G2 MT Reading Scoresheet'!E89&lt;&gt;"",'G2 MT Reading Scoresheet'!E89,"")</f>
        <v/>
      </c>
      <c r="F89" s="261" t="str">
        <f>IF('G2 MT Reading Scoresheet'!F89&lt;&gt;"",'G2 MT Reading Scoresheet'!F89,"")</f>
        <v/>
      </c>
      <c r="G89" s="255" t="str">
        <f>IF('G2 MT Reading Scoresheet'!G89&lt;&gt;"",'G2 MT Reading Scoresheet'!G89,"")</f>
        <v/>
      </c>
      <c r="H89" s="266" t="str">
        <f>IF('G2 MT Reading Scoresheet'!H89&lt;&gt;"",'G2 MT Reading Scoresheet'!H89,"")</f>
        <v/>
      </c>
      <c r="I89" s="81" t="str">
        <f>IF('G2 MT Reading Scoresheet'!I89&lt;&gt;"",'G2 MT Reading Scoresheet'!I89,"")</f>
        <v/>
      </c>
      <c r="J89" s="82" t="str">
        <f>IF('G2 MT Reading Scoresheet'!J89&lt;&gt;"",'G2 MT Reading Scoresheet'!J89,"")</f>
        <v/>
      </c>
      <c r="K89" s="267" t="str">
        <f>IF('G2 MT Reading Scoresheet'!K89&lt;&gt;"",'G2 MT Reading Scoresheet'!K89,"")</f>
        <v/>
      </c>
      <c r="L89" s="268" t="str">
        <f>IF('G2 MT Reading Scoresheet'!L89&lt;&gt;"",'G2 MT Reading Scoresheet'!L89,"")</f>
        <v/>
      </c>
      <c r="M89" s="118" t="str">
        <f>IF('G2 MT Reading Scoresheet'!M89&lt;&gt;"",'G2 MT Reading Scoresheet'!M89,"")</f>
        <v/>
      </c>
      <c r="N89" s="266" t="str">
        <f>IF('G2 MT Reading Scoresheet'!N89&lt;&gt;"",'G2 MT Reading Scoresheet'!N89,"")</f>
        <v/>
      </c>
      <c r="O89" s="266" t="str">
        <f>IF('G2 MT Reading Scoresheet'!O89&lt;&gt;"",'G2 MT Reading Scoresheet'!O89,"")</f>
        <v/>
      </c>
      <c r="P89" s="118" t="str">
        <f>IF('G2 MT Reading Scoresheet'!P89&lt;&gt;"",'G2 MT Reading Scoresheet'!P89,"")</f>
        <v/>
      </c>
      <c r="Q89" s="122" t="str">
        <f>IF('G2 MT Reading Scoresheet'!Q89&lt;&gt;"",'G2 MT Reading Scoresheet'!Q89,"")</f>
        <v/>
      </c>
      <c r="R89" s="266" t="str">
        <f>IF('G2 MT Reading Scoresheet'!R89&lt;&gt;"",'G2 MT Reading Scoresheet'!R89,"")</f>
        <v/>
      </c>
      <c r="S89" s="266" t="str">
        <f>IF('G2 MT Reading Scoresheet'!S89&lt;&gt;"",'G2 MT Reading Scoresheet'!S89,"")</f>
        <v/>
      </c>
      <c r="T89" s="269" t="str">
        <f>IF('G2 MT Reading Scoresheet'!T89&lt;&gt;"",'G2 MT Reading Scoresheet'!T89,"")</f>
        <v/>
      </c>
      <c r="U89" s="87" t="str">
        <f>IF('G2 MT Reading Scoresheet'!U89&lt;&gt;"",'G2 MT Reading Scoresheet'!U89,"")</f>
        <v/>
      </c>
      <c r="V89" s="270"/>
      <c r="Y89" s="218" t="str">
        <f t="shared" si="2"/>
        <v/>
      </c>
    </row>
    <row r="90" spans="1:25" ht="14.4" x14ac:dyDescent="0.3">
      <c r="A90" s="5">
        <f t="shared" si="1"/>
        <v>80</v>
      </c>
      <c r="B90" s="118" t="str">
        <f>IF('G2 MT Reading Scoresheet'!B90&lt;&gt;"",'G2 MT Reading Scoresheet'!B90,"")</f>
        <v/>
      </c>
      <c r="C90" s="133" t="str">
        <f>IF('G2 MT Reading Scoresheet'!C90&lt;&gt;"",'G2 MT Reading Scoresheet'!C90,"")</f>
        <v/>
      </c>
      <c r="D90" s="134" t="str">
        <f>IF('G2 MT Reading Scoresheet'!D90&lt;&gt;"",'G2 MT Reading Scoresheet'!D90,"")</f>
        <v/>
      </c>
      <c r="E90" s="135" t="str">
        <f>IF('G2 MT Reading Scoresheet'!E90&lt;&gt;"",'G2 MT Reading Scoresheet'!E90,"")</f>
        <v/>
      </c>
      <c r="F90" s="265" t="str">
        <f>IF('G2 MT Reading Scoresheet'!F90&lt;&gt;"",'G2 MT Reading Scoresheet'!F90,"")</f>
        <v/>
      </c>
      <c r="G90" s="262" t="str">
        <f>IF('G2 MT Reading Scoresheet'!G90&lt;&gt;"",'G2 MT Reading Scoresheet'!G90,"")</f>
        <v/>
      </c>
      <c r="H90" s="81" t="str">
        <f>IF('G2 MT Reading Scoresheet'!H90&lt;&gt;"",'G2 MT Reading Scoresheet'!H90,"")</f>
        <v/>
      </c>
      <c r="I90" s="81" t="str">
        <f>IF('G2 MT Reading Scoresheet'!I90&lt;&gt;"",'G2 MT Reading Scoresheet'!I90,"")</f>
        <v/>
      </c>
      <c r="J90" s="82" t="str">
        <f>IF('G2 MT Reading Scoresheet'!J90&lt;&gt;"",'G2 MT Reading Scoresheet'!J90,"")</f>
        <v/>
      </c>
      <c r="K90" s="263" t="str">
        <f>IF('G2 MT Reading Scoresheet'!K90&lt;&gt;"",'G2 MT Reading Scoresheet'!K90,"")</f>
        <v/>
      </c>
      <c r="L90" s="87" t="str">
        <f>IF('G2 MT Reading Scoresheet'!L90&lt;&gt;"",'G2 MT Reading Scoresheet'!L90,"")</f>
        <v/>
      </c>
      <c r="M90" s="118" t="str">
        <f>IF('G2 MT Reading Scoresheet'!M90&lt;&gt;"",'G2 MT Reading Scoresheet'!M90,"")</f>
        <v/>
      </c>
      <c r="N90" s="81" t="str">
        <f>IF('G2 MT Reading Scoresheet'!N90&lt;&gt;"",'G2 MT Reading Scoresheet'!N90,"")</f>
        <v/>
      </c>
      <c r="O90" s="81" t="str">
        <f>IF('G2 MT Reading Scoresheet'!O90&lt;&gt;"",'G2 MT Reading Scoresheet'!O90,"")</f>
        <v/>
      </c>
      <c r="P90" s="118" t="str">
        <f>IF('G2 MT Reading Scoresheet'!P90&lt;&gt;"",'G2 MT Reading Scoresheet'!P90,"")</f>
        <v/>
      </c>
      <c r="Q90" s="122" t="str">
        <f>IF('G2 MT Reading Scoresheet'!Q90&lt;&gt;"",'G2 MT Reading Scoresheet'!Q90,"")</f>
        <v/>
      </c>
      <c r="R90" s="81" t="str">
        <f>IF('G2 MT Reading Scoresheet'!R90&lt;&gt;"",'G2 MT Reading Scoresheet'!R90,"")</f>
        <v/>
      </c>
      <c r="S90" s="81" t="str">
        <f>IF('G2 MT Reading Scoresheet'!S90&lt;&gt;"",'G2 MT Reading Scoresheet'!S90,"")</f>
        <v/>
      </c>
      <c r="T90" s="82" t="str">
        <f>IF('G2 MT Reading Scoresheet'!T90&lt;&gt;"",'G2 MT Reading Scoresheet'!T90,"")</f>
        <v/>
      </c>
      <c r="U90" s="87" t="str">
        <f>IF('G2 MT Reading Scoresheet'!U90&lt;&gt;"",'G2 MT Reading Scoresheet'!U90,"")</f>
        <v/>
      </c>
      <c r="V90" s="264"/>
      <c r="Y90" s="218" t="str">
        <f t="shared" si="2"/>
        <v/>
      </c>
    </row>
    <row r="91" spans="1:25" ht="14.4" x14ac:dyDescent="0.3">
      <c r="A91" s="4">
        <f t="shared" si="1"/>
        <v>81</v>
      </c>
      <c r="B91" s="118" t="str">
        <f>IF('G2 MT Reading Scoresheet'!B91&lt;&gt;"",'G2 MT Reading Scoresheet'!B91,"")</f>
        <v/>
      </c>
      <c r="C91" s="133" t="str">
        <f>IF('G2 MT Reading Scoresheet'!C91&lt;&gt;"",'G2 MT Reading Scoresheet'!C91,"")</f>
        <v/>
      </c>
      <c r="D91" s="134" t="str">
        <f>IF('G2 MT Reading Scoresheet'!D91&lt;&gt;"",'G2 MT Reading Scoresheet'!D91,"")</f>
        <v/>
      </c>
      <c r="E91" s="135" t="str">
        <f>IF('G2 MT Reading Scoresheet'!E91&lt;&gt;"",'G2 MT Reading Scoresheet'!E91,"")</f>
        <v/>
      </c>
      <c r="F91" s="261" t="str">
        <f>IF('G2 MT Reading Scoresheet'!F91&lt;&gt;"",'G2 MT Reading Scoresheet'!F91,"")</f>
        <v/>
      </c>
      <c r="G91" s="255" t="str">
        <f>IF('G2 MT Reading Scoresheet'!G91&lt;&gt;"",'G2 MT Reading Scoresheet'!G91,"")</f>
        <v/>
      </c>
      <c r="H91" s="266" t="str">
        <f>IF('G2 MT Reading Scoresheet'!H91&lt;&gt;"",'G2 MT Reading Scoresheet'!H91,"")</f>
        <v/>
      </c>
      <c r="I91" s="81" t="str">
        <f>IF('G2 MT Reading Scoresheet'!I91&lt;&gt;"",'G2 MT Reading Scoresheet'!I91,"")</f>
        <v/>
      </c>
      <c r="J91" s="82" t="str">
        <f>IF('G2 MT Reading Scoresheet'!J91&lt;&gt;"",'G2 MT Reading Scoresheet'!J91,"")</f>
        <v/>
      </c>
      <c r="K91" s="267" t="str">
        <f>IF('G2 MT Reading Scoresheet'!K91&lt;&gt;"",'G2 MT Reading Scoresheet'!K91,"")</f>
        <v/>
      </c>
      <c r="L91" s="268" t="str">
        <f>IF('G2 MT Reading Scoresheet'!L91&lt;&gt;"",'G2 MT Reading Scoresheet'!L91,"")</f>
        <v/>
      </c>
      <c r="M91" s="118" t="str">
        <f>IF('G2 MT Reading Scoresheet'!M91&lt;&gt;"",'G2 MT Reading Scoresheet'!M91,"")</f>
        <v/>
      </c>
      <c r="N91" s="266" t="str">
        <f>IF('G2 MT Reading Scoresheet'!N91&lt;&gt;"",'G2 MT Reading Scoresheet'!N91,"")</f>
        <v/>
      </c>
      <c r="O91" s="266" t="str">
        <f>IF('G2 MT Reading Scoresheet'!O91&lt;&gt;"",'G2 MT Reading Scoresheet'!O91,"")</f>
        <v/>
      </c>
      <c r="P91" s="118" t="str">
        <f>IF('G2 MT Reading Scoresheet'!P91&lt;&gt;"",'G2 MT Reading Scoresheet'!P91,"")</f>
        <v/>
      </c>
      <c r="Q91" s="122" t="str">
        <f>IF('G2 MT Reading Scoresheet'!Q91&lt;&gt;"",'G2 MT Reading Scoresheet'!Q91,"")</f>
        <v/>
      </c>
      <c r="R91" s="266" t="str">
        <f>IF('G2 MT Reading Scoresheet'!R91&lt;&gt;"",'G2 MT Reading Scoresheet'!R91,"")</f>
        <v/>
      </c>
      <c r="S91" s="266" t="str">
        <f>IF('G2 MT Reading Scoresheet'!S91&lt;&gt;"",'G2 MT Reading Scoresheet'!S91,"")</f>
        <v/>
      </c>
      <c r="T91" s="269" t="str">
        <f>IF('G2 MT Reading Scoresheet'!T91&lt;&gt;"",'G2 MT Reading Scoresheet'!T91,"")</f>
        <v/>
      </c>
      <c r="U91" s="87" t="str">
        <f>IF('G2 MT Reading Scoresheet'!U91&lt;&gt;"",'G2 MT Reading Scoresheet'!U91,"")</f>
        <v/>
      </c>
      <c r="V91" s="270"/>
      <c r="Y91" s="218" t="str">
        <f t="shared" si="2"/>
        <v/>
      </c>
    </row>
    <row r="92" spans="1:25" ht="14.4" x14ac:dyDescent="0.3">
      <c r="A92" s="5">
        <f t="shared" si="1"/>
        <v>82</v>
      </c>
      <c r="B92" s="118" t="str">
        <f>IF('G2 MT Reading Scoresheet'!B92&lt;&gt;"",'G2 MT Reading Scoresheet'!B92,"")</f>
        <v/>
      </c>
      <c r="C92" s="133" t="str">
        <f>IF('G2 MT Reading Scoresheet'!C92&lt;&gt;"",'G2 MT Reading Scoresheet'!C92,"")</f>
        <v/>
      </c>
      <c r="D92" s="134" t="str">
        <f>IF('G2 MT Reading Scoresheet'!D92&lt;&gt;"",'G2 MT Reading Scoresheet'!D92,"")</f>
        <v/>
      </c>
      <c r="E92" s="135" t="str">
        <f>IF('G2 MT Reading Scoresheet'!E92&lt;&gt;"",'G2 MT Reading Scoresheet'!E92,"")</f>
        <v/>
      </c>
      <c r="F92" s="265" t="str">
        <f>IF('G2 MT Reading Scoresheet'!F92&lt;&gt;"",'G2 MT Reading Scoresheet'!F92,"")</f>
        <v/>
      </c>
      <c r="G92" s="262" t="str">
        <f>IF('G2 MT Reading Scoresheet'!G92&lt;&gt;"",'G2 MT Reading Scoresheet'!G92,"")</f>
        <v/>
      </c>
      <c r="H92" s="81" t="str">
        <f>IF('G2 MT Reading Scoresheet'!H92&lt;&gt;"",'G2 MT Reading Scoresheet'!H92,"")</f>
        <v/>
      </c>
      <c r="I92" s="81" t="str">
        <f>IF('G2 MT Reading Scoresheet'!I92&lt;&gt;"",'G2 MT Reading Scoresheet'!I92,"")</f>
        <v/>
      </c>
      <c r="J92" s="82" t="str">
        <f>IF('G2 MT Reading Scoresheet'!J92&lt;&gt;"",'G2 MT Reading Scoresheet'!J92,"")</f>
        <v/>
      </c>
      <c r="K92" s="263" t="str">
        <f>IF('G2 MT Reading Scoresheet'!K92&lt;&gt;"",'G2 MT Reading Scoresheet'!K92,"")</f>
        <v/>
      </c>
      <c r="L92" s="87" t="str">
        <f>IF('G2 MT Reading Scoresheet'!L92&lt;&gt;"",'G2 MT Reading Scoresheet'!L92,"")</f>
        <v/>
      </c>
      <c r="M92" s="118" t="str">
        <f>IF('G2 MT Reading Scoresheet'!M92&lt;&gt;"",'G2 MT Reading Scoresheet'!M92,"")</f>
        <v/>
      </c>
      <c r="N92" s="81" t="str">
        <f>IF('G2 MT Reading Scoresheet'!N92&lt;&gt;"",'G2 MT Reading Scoresheet'!N92,"")</f>
        <v/>
      </c>
      <c r="O92" s="81" t="str">
        <f>IF('G2 MT Reading Scoresheet'!O92&lt;&gt;"",'G2 MT Reading Scoresheet'!O92,"")</f>
        <v/>
      </c>
      <c r="P92" s="118" t="str">
        <f>IF('G2 MT Reading Scoresheet'!P92&lt;&gt;"",'G2 MT Reading Scoresheet'!P92,"")</f>
        <v/>
      </c>
      <c r="Q92" s="122" t="str">
        <f>IF('G2 MT Reading Scoresheet'!Q92&lt;&gt;"",'G2 MT Reading Scoresheet'!Q92,"")</f>
        <v/>
      </c>
      <c r="R92" s="81" t="str">
        <f>IF('G2 MT Reading Scoresheet'!R92&lt;&gt;"",'G2 MT Reading Scoresheet'!R92,"")</f>
        <v/>
      </c>
      <c r="S92" s="81" t="str">
        <f>IF('G2 MT Reading Scoresheet'!S92&lt;&gt;"",'G2 MT Reading Scoresheet'!S92,"")</f>
        <v/>
      </c>
      <c r="T92" s="82" t="str">
        <f>IF('G2 MT Reading Scoresheet'!T92&lt;&gt;"",'G2 MT Reading Scoresheet'!T92,"")</f>
        <v/>
      </c>
      <c r="U92" s="87" t="str">
        <f>IF('G2 MT Reading Scoresheet'!U92&lt;&gt;"",'G2 MT Reading Scoresheet'!U92,"")</f>
        <v/>
      </c>
      <c r="V92" s="264"/>
      <c r="Y92" s="218" t="str">
        <f t="shared" si="2"/>
        <v/>
      </c>
    </row>
    <row r="93" spans="1:25" ht="14.4" x14ac:dyDescent="0.3">
      <c r="A93" s="4">
        <f t="shared" si="1"/>
        <v>83</v>
      </c>
      <c r="B93" s="118" t="str">
        <f>IF('G2 MT Reading Scoresheet'!B93&lt;&gt;"",'G2 MT Reading Scoresheet'!B93,"")</f>
        <v/>
      </c>
      <c r="C93" s="133" t="str">
        <f>IF('G2 MT Reading Scoresheet'!C93&lt;&gt;"",'G2 MT Reading Scoresheet'!C93,"")</f>
        <v/>
      </c>
      <c r="D93" s="134" t="str">
        <f>IF('G2 MT Reading Scoresheet'!D93&lt;&gt;"",'G2 MT Reading Scoresheet'!D93,"")</f>
        <v/>
      </c>
      <c r="E93" s="135" t="str">
        <f>IF('G2 MT Reading Scoresheet'!E93&lt;&gt;"",'G2 MT Reading Scoresheet'!E93,"")</f>
        <v/>
      </c>
      <c r="F93" s="261" t="str">
        <f>IF('G2 MT Reading Scoresheet'!F93&lt;&gt;"",'G2 MT Reading Scoresheet'!F93,"")</f>
        <v/>
      </c>
      <c r="G93" s="255" t="str">
        <f>IF('G2 MT Reading Scoresheet'!G93&lt;&gt;"",'G2 MT Reading Scoresheet'!G93,"")</f>
        <v/>
      </c>
      <c r="H93" s="266" t="str">
        <f>IF('G2 MT Reading Scoresheet'!H93&lt;&gt;"",'G2 MT Reading Scoresheet'!H93,"")</f>
        <v/>
      </c>
      <c r="I93" s="81" t="str">
        <f>IF('G2 MT Reading Scoresheet'!I93&lt;&gt;"",'G2 MT Reading Scoresheet'!I93,"")</f>
        <v/>
      </c>
      <c r="J93" s="82" t="str">
        <f>IF('G2 MT Reading Scoresheet'!J93&lt;&gt;"",'G2 MT Reading Scoresheet'!J93,"")</f>
        <v/>
      </c>
      <c r="K93" s="267" t="str">
        <f>IF('G2 MT Reading Scoresheet'!K93&lt;&gt;"",'G2 MT Reading Scoresheet'!K93,"")</f>
        <v/>
      </c>
      <c r="L93" s="268" t="str">
        <f>IF('G2 MT Reading Scoresheet'!L93&lt;&gt;"",'G2 MT Reading Scoresheet'!L93,"")</f>
        <v/>
      </c>
      <c r="M93" s="118" t="str">
        <f>IF('G2 MT Reading Scoresheet'!M93&lt;&gt;"",'G2 MT Reading Scoresheet'!M93,"")</f>
        <v/>
      </c>
      <c r="N93" s="266" t="str">
        <f>IF('G2 MT Reading Scoresheet'!N93&lt;&gt;"",'G2 MT Reading Scoresheet'!N93,"")</f>
        <v/>
      </c>
      <c r="O93" s="266" t="str">
        <f>IF('G2 MT Reading Scoresheet'!O93&lt;&gt;"",'G2 MT Reading Scoresheet'!O93,"")</f>
        <v/>
      </c>
      <c r="P93" s="118" t="str">
        <f>IF('G2 MT Reading Scoresheet'!P93&lt;&gt;"",'G2 MT Reading Scoresheet'!P93,"")</f>
        <v/>
      </c>
      <c r="Q93" s="122" t="str">
        <f>IF('G2 MT Reading Scoresheet'!Q93&lt;&gt;"",'G2 MT Reading Scoresheet'!Q93,"")</f>
        <v/>
      </c>
      <c r="R93" s="266" t="str">
        <f>IF('G2 MT Reading Scoresheet'!R93&lt;&gt;"",'G2 MT Reading Scoresheet'!R93,"")</f>
        <v/>
      </c>
      <c r="S93" s="266" t="str">
        <f>IF('G2 MT Reading Scoresheet'!S93&lt;&gt;"",'G2 MT Reading Scoresheet'!S93,"")</f>
        <v/>
      </c>
      <c r="T93" s="269" t="str">
        <f>IF('G2 MT Reading Scoresheet'!T93&lt;&gt;"",'G2 MT Reading Scoresheet'!T93,"")</f>
        <v/>
      </c>
      <c r="U93" s="87" t="str">
        <f>IF('G2 MT Reading Scoresheet'!U93&lt;&gt;"",'G2 MT Reading Scoresheet'!U93,"")</f>
        <v/>
      </c>
      <c r="V93" s="270"/>
      <c r="Y93" s="218" t="str">
        <f t="shared" si="2"/>
        <v/>
      </c>
    </row>
    <row r="94" spans="1:25" ht="14.4" x14ac:dyDescent="0.3">
      <c r="A94" s="5">
        <f t="shared" si="1"/>
        <v>84</v>
      </c>
      <c r="B94" s="118" t="str">
        <f>IF('G2 MT Reading Scoresheet'!B94&lt;&gt;"",'G2 MT Reading Scoresheet'!B94,"")</f>
        <v/>
      </c>
      <c r="C94" s="133" t="str">
        <f>IF('G2 MT Reading Scoresheet'!C94&lt;&gt;"",'G2 MT Reading Scoresheet'!C94,"")</f>
        <v/>
      </c>
      <c r="D94" s="134" t="str">
        <f>IF('G2 MT Reading Scoresheet'!D94&lt;&gt;"",'G2 MT Reading Scoresheet'!D94,"")</f>
        <v/>
      </c>
      <c r="E94" s="135" t="str">
        <f>IF('G2 MT Reading Scoresheet'!E94&lt;&gt;"",'G2 MT Reading Scoresheet'!E94,"")</f>
        <v/>
      </c>
      <c r="F94" s="265" t="str">
        <f>IF('G2 MT Reading Scoresheet'!F94&lt;&gt;"",'G2 MT Reading Scoresheet'!F94,"")</f>
        <v/>
      </c>
      <c r="G94" s="262" t="str">
        <f>IF('G2 MT Reading Scoresheet'!G94&lt;&gt;"",'G2 MT Reading Scoresheet'!G94,"")</f>
        <v/>
      </c>
      <c r="H94" s="81" t="str">
        <f>IF('G2 MT Reading Scoresheet'!H94&lt;&gt;"",'G2 MT Reading Scoresheet'!H94,"")</f>
        <v/>
      </c>
      <c r="I94" s="81" t="str">
        <f>IF('G2 MT Reading Scoresheet'!I94&lt;&gt;"",'G2 MT Reading Scoresheet'!I94,"")</f>
        <v/>
      </c>
      <c r="J94" s="82" t="str">
        <f>IF('G2 MT Reading Scoresheet'!J94&lt;&gt;"",'G2 MT Reading Scoresheet'!J94,"")</f>
        <v/>
      </c>
      <c r="K94" s="263" t="str">
        <f>IF('G2 MT Reading Scoresheet'!K94&lt;&gt;"",'G2 MT Reading Scoresheet'!K94,"")</f>
        <v/>
      </c>
      <c r="L94" s="87" t="str">
        <f>IF('G2 MT Reading Scoresheet'!L94&lt;&gt;"",'G2 MT Reading Scoresheet'!L94,"")</f>
        <v/>
      </c>
      <c r="M94" s="118" t="str">
        <f>IF('G2 MT Reading Scoresheet'!M94&lt;&gt;"",'G2 MT Reading Scoresheet'!M94,"")</f>
        <v/>
      </c>
      <c r="N94" s="81" t="str">
        <f>IF('G2 MT Reading Scoresheet'!N94&lt;&gt;"",'G2 MT Reading Scoresheet'!N94,"")</f>
        <v/>
      </c>
      <c r="O94" s="81" t="str">
        <f>IF('G2 MT Reading Scoresheet'!O94&lt;&gt;"",'G2 MT Reading Scoresheet'!O94,"")</f>
        <v/>
      </c>
      <c r="P94" s="118" t="str">
        <f>IF('G2 MT Reading Scoresheet'!P94&lt;&gt;"",'G2 MT Reading Scoresheet'!P94,"")</f>
        <v/>
      </c>
      <c r="Q94" s="122" t="str">
        <f>IF('G2 MT Reading Scoresheet'!Q94&lt;&gt;"",'G2 MT Reading Scoresheet'!Q94,"")</f>
        <v/>
      </c>
      <c r="R94" s="81" t="str">
        <f>IF('G2 MT Reading Scoresheet'!R94&lt;&gt;"",'G2 MT Reading Scoresheet'!R94,"")</f>
        <v/>
      </c>
      <c r="S94" s="81" t="str">
        <f>IF('G2 MT Reading Scoresheet'!S94&lt;&gt;"",'G2 MT Reading Scoresheet'!S94,"")</f>
        <v/>
      </c>
      <c r="T94" s="82" t="str">
        <f>IF('G2 MT Reading Scoresheet'!T94&lt;&gt;"",'G2 MT Reading Scoresheet'!T94,"")</f>
        <v/>
      </c>
      <c r="U94" s="87" t="str">
        <f>IF('G2 MT Reading Scoresheet'!U94&lt;&gt;"",'G2 MT Reading Scoresheet'!U94,"")</f>
        <v/>
      </c>
      <c r="V94" s="264"/>
      <c r="Y94" s="218" t="str">
        <f t="shared" si="2"/>
        <v/>
      </c>
    </row>
    <row r="95" spans="1:25" ht="14.4" x14ac:dyDescent="0.3">
      <c r="A95" s="4">
        <f t="shared" si="1"/>
        <v>85</v>
      </c>
      <c r="B95" s="118" t="str">
        <f>IF('G2 MT Reading Scoresheet'!B95&lt;&gt;"",'G2 MT Reading Scoresheet'!B95,"")</f>
        <v/>
      </c>
      <c r="C95" s="133" t="str">
        <f>IF('G2 MT Reading Scoresheet'!C95&lt;&gt;"",'G2 MT Reading Scoresheet'!C95,"")</f>
        <v/>
      </c>
      <c r="D95" s="134" t="str">
        <f>IF('G2 MT Reading Scoresheet'!D95&lt;&gt;"",'G2 MT Reading Scoresheet'!D95,"")</f>
        <v/>
      </c>
      <c r="E95" s="135" t="str">
        <f>IF('G2 MT Reading Scoresheet'!E95&lt;&gt;"",'G2 MT Reading Scoresheet'!E95,"")</f>
        <v/>
      </c>
      <c r="F95" s="261" t="str">
        <f>IF('G2 MT Reading Scoresheet'!F95&lt;&gt;"",'G2 MT Reading Scoresheet'!F95,"")</f>
        <v/>
      </c>
      <c r="G95" s="255" t="str">
        <f>IF('G2 MT Reading Scoresheet'!G95&lt;&gt;"",'G2 MT Reading Scoresheet'!G95,"")</f>
        <v/>
      </c>
      <c r="H95" s="266" t="str">
        <f>IF('G2 MT Reading Scoresheet'!H95&lt;&gt;"",'G2 MT Reading Scoresheet'!H95,"")</f>
        <v/>
      </c>
      <c r="I95" s="81" t="str">
        <f>IF('G2 MT Reading Scoresheet'!I95&lt;&gt;"",'G2 MT Reading Scoresheet'!I95,"")</f>
        <v/>
      </c>
      <c r="J95" s="82" t="str">
        <f>IF('G2 MT Reading Scoresheet'!J95&lt;&gt;"",'G2 MT Reading Scoresheet'!J95,"")</f>
        <v/>
      </c>
      <c r="K95" s="267" t="str">
        <f>IF('G2 MT Reading Scoresheet'!K95&lt;&gt;"",'G2 MT Reading Scoresheet'!K95,"")</f>
        <v/>
      </c>
      <c r="L95" s="268" t="str">
        <f>IF('G2 MT Reading Scoresheet'!L95&lt;&gt;"",'G2 MT Reading Scoresheet'!L95,"")</f>
        <v/>
      </c>
      <c r="M95" s="118" t="str">
        <f>IF('G2 MT Reading Scoresheet'!M95&lt;&gt;"",'G2 MT Reading Scoresheet'!M95,"")</f>
        <v/>
      </c>
      <c r="N95" s="266" t="str">
        <f>IF('G2 MT Reading Scoresheet'!N95&lt;&gt;"",'G2 MT Reading Scoresheet'!N95,"")</f>
        <v/>
      </c>
      <c r="O95" s="266" t="str">
        <f>IF('G2 MT Reading Scoresheet'!O95&lt;&gt;"",'G2 MT Reading Scoresheet'!O95,"")</f>
        <v/>
      </c>
      <c r="P95" s="118" t="str">
        <f>IF('G2 MT Reading Scoresheet'!P95&lt;&gt;"",'G2 MT Reading Scoresheet'!P95,"")</f>
        <v/>
      </c>
      <c r="Q95" s="122" t="str">
        <f>IF('G2 MT Reading Scoresheet'!Q95&lt;&gt;"",'G2 MT Reading Scoresheet'!Q95,"")</f>
        <v/>
      </c>
      <c r="R95" s="266" t="str">
        <f>IF('G2 MT Reading Scoresheet'!R95&lt;&gt;"",'G2 MT Reading Scoresheet'!R95,"")</f>
        <v/>
      </c>
      <c r="S95" s="266" t="str">
        <f>IF('G2 MT Reading Scoresheet'!S95&lt;&gt;"",'G2 MT Reading Scoresheet'!S95,"")</f>
        <v/>
      </c>
      <c r="T95" s="269" t="str">
        <f>IF('G2 MT Reading Scoresheet'!T95&lt;&gt;"",'G2 MT Reading Scoresheet'!T95,"")</f>
        <v/>
      </c>
      <c r="U95" s="87" t="str">
        <f>IF('G2 MT Reading Scoresheet'!U95&lt;&gt;"",'G2 MT Reading Scoresheet'!U95,"")</f>
        <v/>
      </c>
      <c r="V95" s="270"/>
      <c r="Y95" s="218" t="str">
        <f t="shared" si="2"/>
        <v/>
      </c>
    </row>
    <row r="96" spans="1:25" ht="14.4" x14ac:dyDescent="0.3">
      <c r="A96" s="5">
        <f t="shared" si="1"/>
        <v>86</v>
      </c>
      <c r="B96" s="118" t="str">
        <f>IF('G2 MT Reading Scoresheet'!B96&lt;&gt;"",'G2 MT Reading Scoresheet'!B96,"")</f>
        <v/>
      </c>
      <c r="C96" s="133" t="str">
        <f>IF('G2 MT Reading Scoresheet'!C96&lt;&gt;"",'G2 MT Reading Scoresheet'!C96,"")</f>
        <v/>
      </c>
      <c r="D96" s="134" t="str">
        <f>IF('G2 MT Reading Scoresheet'!D96&lt;&gt;"",'G2 MT Reading Scoresheet'!D96,"")</f>
        <v/>
      </c>
      <c r="E96" s="135" t="str">
        <f>IF('G2 MT Reading Scoresheet'!E96&lt;&gt;"",'G2 MT Reading Scoresheet'!E96,"")</f>
        <v/>
      </c>
      <c r="F96" s="265" t="str">
        <f>IF('G2 MT Reading Scoresheet'!F96&lt;&gt;"",'G2 MT Reading Scoresheet'!F96,"")</f>
        <v/>
      </c>
      <c r="G96" s="262" t="str">
        <f>IF('G2 MT Reading Scoresheet'!G96&lt;&gt;"",'G2 MT Reading Scoresheet'!G96,"")</f>
        <v/>
      </c>
      <c r="H96" s="81" t="str">
        <f>IF('G2 MT Reading Scoresheet'!H96&lt;&gt;"",'G2 MT Reading Scoresheet'!H96,"")</f>
        <v/>
      </c>
      <c r="I96" s="81" t="str">
        <f>IF('G2 MT Reading Scoresheet'!I96&lt;&gt;"",'G2 MT Reading Scoresheet'!I96,"")</f>
        <v/>
      </c>
      <c r="J96" s="82" t="str">
        <f>IF('G2 MT Reading Scoresheet'!J96&lt;&gt;"",'G2 MT Reading Scoresheet'!J96,"")</f>
        <v/>
      </c>
      <c r="K96" s="263" t="str">
        <f>IF('G2 MT Reading Scoresheet'!K96&lt;&gt;"",'G2 MT Reading Scoresheet'!K96,"")</f>
        <v/>
      </c>
      <c r="L96" s="87" t="str">
        <f>IF('G2 MT Reading Scoresheet'!L96&lt;&gt;"",'G2 MT Reading Scoresheet'!L96,"")</f>
        <v/>
      </c>
      <c r="M96" s="118" t="str">
        <f>IF('G2 MT Reading Scoresheet'!M96&lt;&gt;"",'G2 MT Reading Scoresheet'!M96,"")</f>
        <v/>
      </c>
      <c r="N96" s="81" t="str">
        <f>IF('G2 MT Reading Scoresheet'!N96&lt;&gt;"",'G2 MT Reading Scoresheet'!N96,"")</f>
        <v/>
      </c>
      <c r="O96" s="81" t="str">
        <f>IF('G2 MT Reading Scoresheet'!O96&lt;&gt;"",'G2 MT Reading Scoresheet'!O96,"")</f>
        <v/>
      </c>
      <c r="P96" s="118" t="str">
        <f>IF('G2 MT Reading Scoresheet'!P96&lt;&gt;"",'G2 MT Reading Scoresheet'!P96,"")</f>
        <v/>
      </c>
      <c r="Q96" s="122" t="str">
        <f>IF('G2 MT Reading Scoresheet'!Q96&lt;&gt;"",'G2 MT Reading Scoresheet'!Q96,"")</f>
        <v/>
      </c>
      <c r="R96" s="81" t="str">
        <f>IF('G2 MT Reading Scoresheet'!R96&lt;&gt;"",'G2 MT Reading Scoresheet'!R96,"")</f>
        <v/>
      </c>
      <c r="S96" s="81" t="str">
        <f>IF('G2 MT Reading Scoresheet'!S96&lt;&gt;"",'G2 MT Reading Scoresheet'!S96,"")</f>
        <v/>
      </c>
      <c r="T96" s="82" t="str">
        <f>IF('G2 MT Reading Scoresheet'!T96&lt;&gt;"",'G2 MT Reading Scoresheet'!T96,"")</f>
        <v/>
      </c>
      <c r="U96" s="87" t="str">
        <f>IF('G2 MT Reading Scoresheet'!U96&lt;&gt;"",'G2 MT Reading Scoresheet'!U96,"")</f>
        <v/>
      </c>
      <c r="V96" s="264"/>
      <c r="Y96" s="218" t="str">
        <f t="shared" si="2"/>
        <v/>
      </c>
    </row>
    <row r="97" spans="1:25" ht="14.4" x14ac:dyDescent="0.3">
      <c r="A97" s="4">
        <f t="shared" si="1"/>
        <v>87</v>
      </c>
      <c r="B97" s="118" t="str">
        <f>IF('G2 MT Reading Scoresheet'!B97&lt;&gt;"",'G2 MT Reading Scoresheet'!B97,"")</f>
        <v/>
      </c>
      <c r="C97" s="133" t="str">
        <f>IF('G2 MT Reading Scoresheet'!C97&lt;&gt;"",'G2 MT Reading Scoresheet'!C97,"")</f>
        <v/>
      </c>
      <c r="D97" s="134" t="str">
        <f>IF('G2 MT Reading Scoresheet'!D97&lt;&gt;"",'G2 MT Reading Scoresheet'!D97,"")</f>
        <v/>
      </c>
      <c r="E97" s="135" t="str">
        <f>IF('G2 MT Reading Scoresheet'!E97&lt;&gt;"",'G2 MT Reading Scoresheet'!E97,"")</f>
        <v/>
      </c>
      <c r="F97" s="261" t="str">
        <f>IF('G2 MT Reading Scoresheet'!F97&lt;&gt;"",'G2 MT Reading Scoresheet'!F97,"")</f>
        <v/>
      </c>
      <c r="G97" s="255" t="str">
        <f>IF('G2 MT Reading Scoresheet'!G97&lt;&gt;"",'G2 MT Reading Scoresheet'!G97,"")</f>
        <v/>
      </c>
      <c r="H97" s="266" t="str">
        <f>IF('G2 MT Reading Scoresheet'!H97&lt;&gt;"",'G2 MT Reading Scoresheet'!H97,"")</f>
        <v/>
      </c>
      <c r="I97" s="81" t="str">
        <f>IF('G2 MT Reading Scoresheet'!I97&lt;&gt;"",'G2 MT Reading Scoresheet'!I97,"")</f>
        <v/>
      </c>
      <c r="J97" s="82" t="str">
        <f>IF('G2 MT Reading Scoresheet'!J97&lt;&gt;"",'G2 MT Reading Scoresheet'!J97,"")</f>
        <v/>
      </c>
      <c r="K97" s="267" t="str">
        <f>IF('G2 MT Reading Scoresheet'!K97&lt;&gt;"",'G2 MT Reading Scoresheet'!K97,"")</f>
        <v/>
      </c>
      <c r="L97" s="268" t="str">
        <f>IF('G2 MT Reading Scoresheet'!L97&lt;&gt;"",'G2 MT Reading Scoresheet'!L97,"")</f>
        <v/>
      </c>
      <c r="M97" s="118" t="str">
        <f>IF('G2 MT Reading Scoresheet'!M97&lt;&gt;"",'G2 MT Reading Scoresheet'!M97,"")</f>
        <v/>
      </c>
      <c r="N97" s="266" t="str">
        <f>IF('G2 MT Reading Scoresheet'!N97&lt;&gt;"",'G2 MT Reading Scoresheet'!N97,"")</f>
        <v/>
      </c>
      <c r="O97" s="266" t="str">
        <f>IF('G2 MT Reading Scoresheet'!O97&lt;&gt;"",'G2 MT Reading Scoresheet'!O97,"")</f>
        <v/>
      </c>
      <c r="P97" s="118" t="str">
        <f>IF('G2 MT Reading Scoresheet'!P97&lt;&gt;"",'G2 MT Reading Scoresheet'!P97,"")</f>
        <v/>
      </c>
      <c r="Q97" s="122" t="str">
        <f>IF('G2 MT Reading Scoresheet'!Q97&lt;&gt;"",'G2 MT Reading Scoresheet'!Q97,"")</f>
        <v/>
      </c>
      <c r="R97" s="266" t="str">
        <f>IF('G2 MT Reading Scoresheet'!R97&lt;&gt;"",'G2 MT Reading Scoresheet'!R97,"")</f>
        <v/>
      </c>
      <c r="S97" s="266" t="str">
        <f>IF('G2 MT Reading Scoresheet'!S97&lt;&gt;"",'G2 MT Reading Scoresheet'!S97,"")</f>
        <v/>
      </c>
      <c r="T97" s="269" t="str">
        <f>IF('G2 MT Reading Scoresheet'!T97&lt;&gt;"",'G2 MT Reading Scoresheet'!T97,"")</f>
        <v/>
      </c>
      <c r="U97" s="87" t="str">
        <f>IF('G2 MT Reading Scoresheet'!U97&lt;&gt;"",'G2 MT Reading Scoresheet'!U97,"")</f>
        <v/>
      </c>
      <c r="V97" s="270"/>
      <c r="Y97" s="218" t="str">
        <f t="shared" si="2"/>
        <v/>
      </c>
    </row>
    <row r="98" spans="1:25" ht="14.4" x14ac:dyDescent="0.3">
      <c r="A98" s="5">
        <f t="shared" si="1"/>
        <v>88</v>
      </c>
      <c r="B98" s="118" t="str">
        <f>IF('G2 MT Reading Scoresheet'!B98&lt;&gt;"",'G2 MT Reading Scoresheet'!B98,"")</f>
        <v/>
      </c>
      <c r="C98" s="133" t="str">
        <f>IF('G2 MT Reading Scoresheet'!C98&lt;&gt;"",'G2 MT Reading Scoresheet'!C98,"")</f>
        <v/>
      </c>
      <c r="D98" s="134" t="str">
        <f>IF('G2 MT Reading Scoresheet'!D98&lt;&gt;"",'G2 MT Reading Scoresheet'!D98,"")</f>
        <v/>
      </c>
      <c r="E98" s="135" t="str">
        <f>IF('G2 MT Reading Scoresheet'!E98&lt;&gt;"",'G2 MT Reading Scoresheet'!E98,"")</f>
        <v/>
      </c>
      <c r="F98" s="265" t="str">
        <f>IF('G2 MT Reading Scoresheet'!F98&lt;&gt;"",'G2 MT Reading Scoresheet'!F98,"")</f>
        <v/>
      </c>
      <c r="G98" s="262" t="str">
        <f>IF('G2 MT Reading Scoresheet'!G98&lt;&gt;"",'G2 MT Reading Scoresheet'!G98,"")</f>
        <v/>
      </c>
      <c r="H98" s="81" t="str">
        <f>IF('G2 MT Reading Scoresheet'!H98&lt;&gt;"",'G2 MT Reading Scoresheet'!H98,"")</f>
        <v/>
      </c>
      <c r="I98" s="81" t="str">
        <f>IF('G2 MT Reading Scoresheet'!I98&lt;&gt;"",'G2 MT Reading Scoresheet'!I98,"")</f>
        <v/>
      </c>
      <c r="J98" s="82" t="str">
        <f>IF('G2 MT Reading Scoresheet'!J98&lt;&gt;"",'G2 MT Reading Scoresheet'!J98,"")</f>
        <v/>
      </c>
      <c r="K98" s="263" t="str">
        <f>IF('G2 MT Reading Scoresheet'!K98&lt;&gt;"",'G2 MT Reading Scoresheet'!K98,"")</f>
        <v/>
      </c>
      <c r="L98" s="87" t="str">
        <f>IF('G2 MT Reading Scoresheet'!L98&lt;&gt;"",'G2 MT Reading Scoresheet'!L98,"")</f>
        <v/>
      </c>
      <c r="M98" s="118" t="str">
        <f>IF('G2 MT Reading Scoresheet'!M98&lt;&gt;"",'G2 MT Reading Scoresheet'!M98,"")</f>
        <v/>
      </c>
      <c r="N98" s="81" t="str">
        <f>IF('G2 MT Reading Scoresheet'!N98&lt;&gt;"",'G2 MT Reading Scoresheet'!N98,"")</f>
        <v/>
      </c>
      <c r="O98" s="81" t="str">
        <f>IF('G2 MT Reading Scoresheet'!O98&lt;&gt;"",'G2 MT Reading Scoresheet'!O98,"")</f>
        <v/>
      </c>
      <c r="P98" s="118" t="str">
        <f>IF('G2 MT Reading Scoresheet'!P98&lt;&gt;"",'G2 MT Reading Scoresheet'!P98,"")</f>
        <v/>
      </c>
      <c r="Q98" s="122" t="str">
        <f>IF('G2 MT Reading Scoresheet'!Q98&lt;&gt;"",'G2 MT Reading Scoresheet'!Q98,"")</f>
        <v/>
      </c>
      <c r="R98" s="81" t="str">
        <f>IF('G2 MT Reading Scoresheet'!R98&lt;&gt;"",'G2 MT Reading Scoresheet'!R98,"")</f>
        <v/>
      </c>
      <c r="S98" s="81" t="str">
        <f>IF('G2 MT Reading Scoresheet'!S98&lt;&gt;"",'G2 MT Reading Scoresheet'!S98,"")</f>
        <v/>
      </c>
      <c r="T98" s="82" t="str">
        <f>IF('G2 MT Reading Scoresheet'!T98&lt;&gt;"",'G2 MT Reading Scoresheet'!T98,"")</f>
        <v/>
      </c>
      <c r="U98" s="87" t="str">
        <f>IF('G2 MT Reading Scoresheet'!U98&lt;&gt;"",'G2 MT Reading Scoresheet'!U98,"")</f>
        <v/>
      </c>
      <c r="V98" s="264"/>
      <c r="Y98" s="218" t="str">
        <f t="shared" si="2"/>
        <v/>
      </c>
    </row>
    <row r="99" spans="1:25" ht="14.4" x14ac:dyDescent="0.3">
      <c r="A99" s="4">
        <f t="shared" si="1"/>
        <v>89</v>
      </c>
      <c r="B99" s="118" t="str">
        <f>IF('G2 MT Reading Scoresheet'!B99&lt;&gt;"",'G2 MT Reading Scoresheet'!B99,"")</f>
        <v/>
      </c>
      <c r="C99" s="133" t="str">
        <f>IF('G2 MT Reading Scoresheet'!C99&lt;&gt;"",'G2 MT Reading Scoresheet'!C99,"")</f>
        <v/>
      </c>
      <c r="D99" s="134" t="str">
        <f>IF('G2 MT Reading Scoresheet'!D99&lt;&gt;"",'G2 MT Reading Scoresheet'!D99,"")</f>
        <v/>
      </c>
      <c r="E99" s="135" t="str">
        <f>IF('G2 MT Reading Scoresheet'!E99&lt;&gt;"",'G2 MT Reading Scoresheet'!E99,"")</f>
        <v/>
      </c>
      <c r="F99" s="261" t="str">
        <f>IF('G2 MT Reading Scoresheet'!F99&lt;&gt;"",'G2 MT Reading Scoresheet'!F99,"")</f>
        <v/>
      </c>
      <c r="G99" s="255" t="str">
        <f>IF('G2 MT Reading Scoresheet'!G99&lt;&gt;"",'G2 MT Reading Scoresheet'!G99,"")</f>
        <v/>
      </c>
      <c r="H99" s="266" t="str">
        <f>IF('G2 MT Reading Scoresheet'!H99&lt;&gt;"",'G2 MT Reading Scoresheet'!H99,"")</f>
        <v/>
      </c>
      <c r="I99" s="81" t="str">
        <f>IF('G2 MT Reading Scoresheet'!I99&lt;&gt;"",'G2 MT Reading Scoresheet'!I99,"")</f>
        <v/>
      </c>
      <c r="J99" s="82" t="str">
        <f>IF('G2 MT Reading Scoresheet'!J99&lt;&gt;"",'G2 MT Reading Scoresheet'!J99,"")</f>
        <v/>
      </c>
      <c r="K99" s="267" t="str">
        <f>IF('G2 MT Reading Scoresheet'!K99&lt;&gt;"",'G2 MT Reading Scoresheet'!K99,"")</f>
        <v/>
      </c>
      <c r="L99" s="268" t="str">
        <f>IF('G2 MT Reading Scoresheet'!L99&lt;&gt;"",'G2 MT Reading Scoresheet'!L99,"")</f>
        <v/>
      </c>
      <c r="M99" s="118" t="str">
        <f>IF('G2 MT Reading Scoresheet'!M99&lt;&gt;"",'G2 MT Reading Scoresheet'!M99,"")</f>
        <v/>
      </c>
      <c r="N99" s="266" t="str">
        <f>IF('G2 MT Reading Scoresheet'!N99&lt;&gt;"",'G2 MT Reading Scoresheet'!N99,"")</f>
        <v/>
      </c>
      <c r="O99" s="266" t="str">
        <f>IF('G2 MT Reading Scoresheet'!O99&lt;&gt;"",'G2 MT Reading Scoresheet'!O99,"")</f>
        <v/>
      </c>
      <c r="P99" s="118" t="str">
        <f>IF('G2 MT Reading Scoresheet'!P99&lt;&gt;"",'G2 MT Reading Scoresheet'!P99,"")</f>
        <v/>
      </c>
      <c r="Q99" s="122" t="str">
        <f>IF('G2 MT Reading Scoresheet'!Q99&lt;&gt;"",'G2 MT Reading Scoresheet'!Q99,"")</f>
        <v/>
      </c>
      <c r="R99" s="266" t="str">
        <f>IF('G2 MT Reading Scoresheet'!R99&lt;&gt;"",'G2 MT Reading Scoresheet'!R99,"")</f>
        <v/>
      </c>
      <c r="S99" s="266" t="str">
        <f>IF('G2 MT Reading Scoresheet'!S99&lt;&gt;"",'G2 MT Reading Scoresheet'!S99,"")</f>
        <v/>
      </c>
      <c r="T99" s="269" t="str">
        <f>IF('G2 MT Reading Scoresheet'!T99&lt;&gt;"",'G2 MT Reading Scoresheet'!T99,"")</f>
        <v/>
      </c>
      <c r="U99" s="87" t="str">
        <f>IF('G2 MT Reading Scoresheet'!U99&lt;&gt;"",'G2 MT Reading Scoresheet'!U99,"")</f>
        <v/>
      </c>
      <c r="V99" s="270"/>
      <c r="Y99" s="218" t="str">
        <f t="shared" si="2"/>
        <v/>
      </c>
    </row>
    <row r="100" spans="1:25" ht="14.4" x14ac:dyDescent="0.3">
      <c r="A100" s="5">
        <f t="shared" si="1"/>
        <v>90</v>
      </c>
      <c r="B100" s="118" t="str">
        <f>IF('G2 MT Reading Scoresheet'!B100&lt;&gt;"",'G2 MT Reading Scoresheet'!B100,"")</f>
        <v/>
      </c>
      <c r="C100" s="133" t="str">
        <f>IF('G2 MT Reading Scoresheet'!C100&lt;&gt;"",'G2 MT Reading Scoresheet'!C100,"")</f>
        <v/>
      </c>
      <c r="D100" s="134" t="str">
        <f>IF('G2 MT Reading Scoresheet'!D100&lt;&gt;"",'G2 MT Reading Scoresheet'!D100,"")</f>
        <v/>
      </c>
      <c r="E100" s="135" t="str">
        <f>IF('G2 MT Reading Scoresheet'!E100&lt;&gt;"",'G2 MT Reading Scoresheet'!E100,"")</f>
        <v/>
      </c>
      <c r="F100" s="265" t="str">
        <f>IF('G2 MT Reading Scoresheet'!F100&lt;&gt;"",'G2 MT Reading Scoresheet'!F100,"")</f>
        <v/>
      </c>
      <c r="G100" s="262" t="str">
        <f>IF('G2 MT Reading Scoresheet'!G100&lt;&gt;"",'G2 MT Reading Scoresheet'!G100,"")</f>
        <v/>
      </c>
      <c r="H100" s="81" t="str">
        <f>IF('G2 MT Reading Scoresheet'!H100&lt;&gt;"",'G2 MT Reading Scoresheet'!H100,"")</f>
        <v/>
      </c>
      <c r="I100" s="81" t="str">
        <f>IF('G2 MT Reading Scoresheet'!I100&lt;&gt;"",'G2 MT Reading Scoresheet'!I100,"")</f>
        <v/>
      </c>
      <c r="J100" s="82" t="str">
        <f>IF('G2 MT Reading Scoresheet'!J100&lt;&gt;"",'G2 MT Reading Scoresheet'!J100,"")</f>
        <v/>
      </c>
      <c r="K100" s="263" t="str">
        <f>IF('G2 MT Reading Scoresheet'!K100&lt;&gt;"",'G2 MT Reading Scoresheet'!K100,"")</f>
        <v/>
      </c>
      <c r="L100" s="87" t="str">
        <f>IF('G2 MT Reading Scoresheet'!L100&lt;&gt;"",'G2 MT Reading Scoresheet'!L100,"")</f>
        <v/>
      </c>
      <c r="M100" s="118" t="str">
        <f>IF('G2 MT Reading Scoresheet'!M100&lt;&gt;"",'G2 MT Reading Scoresheet'!M100,"")</f>
        <v/>
      </c>
      <c r="N100" s="81" t="str">
        <f>IF('G2 MT Reading Scoresheet'!N100&lt;&gt;"",'G2 MT Reading Scoresheet'!N100,"")</f>
        <v/>
      </c>
      <c r="O100" s="81" t="str">
        <f>IF('G2 MT Reading Scoresheet'!O100&lt;&gt;"",'G2 MT Reading Scoresheet'!O100,"")</f>
        <v/>
      </c>
      <c r="P100" s="118" t="str">
        <f>IF('G2 MT Reading Scoresheet'!P100&lt;&gt;"",'G2 MT Reading Scoresheet'!P100,"")</f>
        <v/>
      </c>
      <c r="Q100" s="122" t="str">
        <f>IF('G2 MT Reading Scoresheet'!Q100&lt;&gt;"",'G2 MT Reading Scoresheet'!Q100,"")</f>
        <v/>
      </c>
      <c r="R100" s="81" t="str">
        <f>IF('G2 MT Reading Scoresheet'!R100&lt;&gt;"",'G2 MT Reading Scoresheet'!R100,"")</f>
        <v/>
      </c>
      <c r="S100" s="81" t="str">
        <f>IF('G2 MT Reading Scoresheet'!S100&lt;&gt;"",'G2 MT Reading Scoresheet'!S100,"")</f>
        <v/>
      </c>
      <c r="T100" s="82" t="str">
        <f>IF('G2 MT Reading Scoresheet'!T100&lt;&gt;"",'G2 MT Reading Scoresheet'!T100,"")</f>
        <v/>
      </c>
      <c r="U100" s="87" t="str">
        <f>IF('G2 MT Reading Scoresheet'!U100&lt;&gt;"",'G2 MT Reading Scoresheet'!U100,"")</f>
        <v/>
      </c>
      <c r="V100" s="264"/>
      <c r="Y100" s="218" t="str">
        <f t="shared" si="2"/>
        <v/>
      </c>
    </row>
    <row r="101" spans="1:25" ht="14.4" x14ac:dyDescent="0.3">
      <c r="A101" s="4">
        <f t="shared" si="1"/>
        <v>91</v>
      </c>
      <c r="B101" s="118" t="str">
        <f>IF('G2 MT Reading Scoresheet'!B101&lt;&gt;"",'G2 MT Reading Scoresheet'!B101,"")</f>
        <v/>
      </c>
      <c r="C101" s="133" t="str">
        <f>IF('G2 MT Reading Scoresheet'!C101&lt;&gt;"",'G2 MT Reading Scoresheet'!C101,"")</f>
        <v/>
      </c>
      <c r="D101" s="134" t="str">
        <f>IF('G2 MT Reading Scoresheet'!D101&lt;&gt;"",'G2 MT Reading Scoresheet'!D101,"")</f>
        <v/>
      </c>
      <c r="E101" s="135" t="str">
        <f>IF('G2 MT Reading Scoresheet'!E101&lt;&gt;"",'G2 MT Reading Scoresheet'!E101,"")</f>
        <v/>
      </c>
      <c r="F101" s="261" t="str">
        <f>IF('G2 MT Reading Scoresheet'!F101&lt;&gt;"",'G2 MT Reading Scoresheet'!F101,"")</f>
        <v/>
      </c>
      <c r="G101" s="255" t="str">
        <f>IF('G2 MT Reading Scoresheet'!G101&lt;&gt;"",'G2 MT Reading Scoresheet'!G101,"")</f>
        <v/>
      </c>
      <c r="H101" s="266" t="str">
        <f>IF('G2 MT Reading Scoresheet'!H101&lt;&gt;"",'G2 MT Reading Scoresheet'!H101,"")</f>
        <v/>
      </c>
      <c r="I101" s="81" t="str">
        <f>IF('G2 MT Reading Scoresheet'!I101&lt;&gt;"",'G2 MT Reading Scoresheet'!I101,"")</f>
        <v/>
      </c>
      <c r="J101" s="82" t="str">
        <f>IF('G2 MT Reading Scoresheet'!J101&lt;&gt;"",'G2 MT Reading Scoresheet'!J101,"")</f>
        <v/>
      </c>
      <c r="K101" s="267" t="str">
        <f>IF('G2 MT Reading Scoresheet'!K101&lt;&gt;"",'G2 MT Reading Scoresheet'!K101,"")</f>
        <v/>
      </c>
      <c r="L101" s="268" t="str">
        <f>IF('G2 MT Reading Scoresheet'!L101&lt;&gt;"",'G2 MT Reading Scoresheet'!L101,"")</f>
        <v/>
      </c>
      <c r="M101" s="118" t="str">
        <f>IF('G2 MT Reading Scoresheet'!M101&lt;&gt;"",'G2 MT Reading Scoresheet'!M101,"")</f>
        <v/>
      </c>
      <c r="N101" s="266" t="str">
        <f>IF('G2 MT Reading Scoresheet'!N101&lt;&gt;"",'G2 MT Reading Scoresheet'!N101,"")</f>
        <v/>
      </c>
      <c r="O101" s="266" t="str">
        <f>IF('G2 MT Reading Scoresheet'!O101&lt;&gt;"",'G2 MT Reading Scoresheet'!O101,"")</f>
        <v/>
      </c>
      <c r="P101" s="118" t="str">
        <f>IF('G2 MT Reading Scoresheet'!P101&lt;&gt;"",'G2 MT Reading Scoresheet'!P101,"")</f>
        <v/>
      </c>
      <c r="Q101" s="122" t="str">
        <f>IF('G2 MT Reading Scoresheet'!Q101&lt;&gt;"",'G2 MT Reading Scoresheet'!Q101,"")</f>
        <v/>
      </c>
      <c r="R101" s="266" t="str">
        <f>IF('G2 MT Reading Scoresheet'!R101&lt;&gt;"",'G2 MT Reading Scoresheet'!R101,"")</f>
        <v/>
      </c>
      <c r="S101" s="266" t="str">
        <f>IF('G2 MT Reading Scoresheet'!S101&lt;&gt;"",'G2 MT Reading Scoresheet'!S101,"")</f>
        <v/>
      </c>
      <c r="T101" s="269" t="str">
        <f>IF('G2 MT Reading Scoresheet'!T101&lt;&gt;"",'G2 MT Reading Scoresheet'!T101,"")</f>
        <v/>
      </c>
      <c r="U101" s="87" t="str">
        <f>IF('G2 MT Reading Scoresheet'!U101&lt;&gt;"",'G2 MT Reading Scoresheet'!U101,"")</f>
        <v/>
      </c>
      <c r="V101" s="270"/>
      <c r="Y101" s="218" t="str">
        <f t="shared" si="2"/>
        <v/>
      </c>
    </row>
    <row r="102" spans="1:25" ht="14.4" x14ac:dyDescent="0.3">
      <c r="A102" s="5">
        <f t="shared" si="1"/>
        <v>92</v>
      </c>
      <c r="B102" s="118" t="str">
        <f>IF('G2 MT Reading Scoresheet'!B102&lt;&gt;"",'G2 MT Reading Scoresheet'!B102,"")</f>
        <v/>
      </c>
      <c r="C102" s="133" t="str">
        <f>IF('G2 MT Reading Scoresheet'!C102&lt;&gt;"",'G2 MT Reading Scoresheet'!C102,"")</f>
        <v/>
      </c>
      <c r="D102" s="134" t="str">
        <f>IF('G2 MT Reading Scoresheet'!D102&lt;&gt;"",'G2 MT Reading Scoresheet'!D102,"")</f>
        <v/>
      </c>
      <c r="E102" s="135" t="str">
        <f>IF('G2 MT Reading Scoresheet'!E102&lt;&gt;"",'G2 MT Reading Scoresheet'!E102,"")</f>
        <v/>
      </c>
      <c r="F102" s="265" t="str">
        <f>IF('G2 MT Reading Scoresheet'!F102&lt;&gt;"",'G2 MT Reading Scoresheet'!F102,"")</f>
        <v/>
      </c>
      <c r="G102" s="262" t="str">
        <f>IF('G2 MT Reading Scoresheet'!G102&lt;&gt;"",'G2 MT Reading Scoresheet'!G102,"")</f>
        <v/>
      </c>
      <c r="H102" s="81" t="str">
        <f>IF('G2 MT Reading Scoresheet'!H102&lt;&gt;"",'G2 MT Reading Scoresheet'!H102,"")</f>
        <v/>
      </c>
      <c r="I102" s="81" t="str">
        <f>IF('G2 MT Reading Scoresheet'!I102&lt;&gt;"",'G2 MT Reading Scoresheet'!I102,"")</f>
        <v/>
      </c>
      <c r="J102" s="82" t="str">
        <f>IF('G2 MT Reading Scoresheet'!J102&lt;&gt;"",'G2 MT Reading Scoresheet'!J102,"")</f>
        <v/>
      </c>
      <c r="K102" s="263" t="str">
        <f>IF('G2 MT Reading Scoresheet'!K102&lt;&gt;"",'G2 MT Reading Scoresheet'!K102,"")</f>
        <v/>
      </c>
      <c r="L102" s="87" t="str">
        <f>IF('G2 MT Reading Scoresheet'!L102&lt;&gt;"",'G2 MT Reading Scoresheet'!L102,"")</f>
        <v/>
      </c>
      <c r="M102" s="118" t="str">
        <f>IF('G2 MT Reading Scoresheet'!M102&lt;&gt;"",'G2 MT Reading Scoresheet'!M102,"")</f>
        <v/>
      </c>
      <c r="N102" s="81" t="str">
        <f>IF('G2 MT Reading Scoresheet'!N102&lt;&gt;"",'G2 MT Reading Scoresheet'!N102,"")</f>
        <v/>
      </c>
      <c r="O102" s="81" t="str">
        <f>IF('G2 MT Reading Scoresheet'!O102&lt;&gt;"",'G2 MT Reading Scoresheet'!O102,"")</f>
        <v/>
      </c>
      <c r="P102" s="118" t="str">
        <f>IF('G2 MT Reading Scoresheet'!P102&lt;&gt;"",'G2 MT Reading Scoresheet'!P102,"")</f>
        <v/>
      </c>
      <c r="Q102" s="122" t="str">
        <f>IF('G2 MT Reading Scoresheet'!Q102&lt;&gt;"",'G2 MT Reading Scoresheet'!Q102,"")</f>
        <v/>
      </c>
      <c r="R102" s="81" t="str">
        <f>IF('G2 MT Reading Scoresheet'!R102&lt;&gt;"",'G2 MT Reading Scoresheet'!R102,"")</f>
        <v/>
      </c>
      <c r="S102" s="81" t="str">
        <f>IF('G2 MT Reading Scoresheet'!S102&lt;&gt;"",'G2 MT Reading Scoresheet'!S102,"")</f>
        <v/>
      </c>
      <c r="T102" s="82" t="str">
        <f>IF('G2 MT Reading Scoresheet'!T102&lt;&gt;"",'G2 MT Reading Scoresheet'!T102,"")</f>
        <v/>
      </c>
      <c r="U102" s="87" t="str">
        <f>IF('G2 MT Reading Scoresheet'!U102&lt;&gt;"",'G2 MT Reading Scoresheet'!U102,"")</f>
        <v/>
      </c>
      <c r="V102" s="264"/>
      <c r="Y102" s="218" t="str">
        <f t="shared" si="2"/>
        <v/>
      </c>
    </row>
    <row r="103" spans="1:25" ht="14.4" x14ac:dyDescent="0.3">
      <c r="A103" s="4">
        <f t="shared" si="1"/>
        <v>93</v>
      </c>
      <c r="B103" s="118" t="str">
        <f>IF('G2 MT Reading Scoresheet'!B103&lt;&gt;"",'G2 MT Reading Scoresheet'!B103,"")</f>
        <v/>
      </c>
      <c r="C103" s="133" t="str">
        <f>IF('G2 MT Reading Scoresheet'!C103&lt;&gt;"",'G2 MT Reading Scoresheet'!C103,"")</f>
        <v/>
      </c>
      <c r="D103" s="134" t="str">
        <f>IF('G2 MT Reading Scoresheet'!D103&lt;&gt;"",'G2 MT Reading Scoresheet'!D103,"")</f>
        <v/>
      </c>
      <c r="E103" s="135" t="str">
        <f>IF('G2 MT Reading Scoresheet'!E103&lt;&gt;"",'G2 MT Reading Scoresheet'!E103,"")</f>
        <v/>
      </c>
      <c r="F103" s="261" t="str">
        <f>IF('G2 MT Reading Scoresheet'!F103&lt;&gt;"",'G2 MT Reading Scoresheet'!F103,"")</f>
        <v/>
      </c>
      <c r="G103" s="255" t="str">
        <f>IF('G2 MT Reading Scoresheet'!G103&lt;&gt;"",'G2 MT Reading Scoresheet'!G103,"")</f>
        <v/>
      </c>
      <c r="H103" s="266" t="str">
        <f>IF('G2 MT Reading Scoresheet'!H103&lt;&gt;"",'G2 MT Reading Scoresheet'!H103,"")</f>
        <v/>
      </c>
      <c r="I103" s="81" t="str">
        <f>IF('G2 MT Reading Scoresheet'!I103&lt;&gt;"",'G2 MT Reading Scoresheet'!I103,"")</f>
        <v/>
      </c>
      <c r="J103" s="82" t="str">
        <f>IF('G2 MT Reading Scoresheet'!J103&lt;&gt;"",'G2 MT Reading Scoresheet'!J103,"")</f>
        <v/>
      </c>
      <c r="K103" s="267" t="str">
        <f>IF('G2 MT Reading Scoresheet'!K103&lt;&gt;"",'G2 MT Reading Scoresheet'!K103,"")</f>
        <v/>
      </c>
      <c r="L103" s="268" t="str">
        <f>IF('G2 MT Reading Scoresheet'!L103&lt;&gt;"",'G2 MT Reading Scoresheet'!L103,"")</f>
        <v/>
      </c>
      <c r="M103" s="118" t="str">
        <f>IF('G2 MT Reading Scoresheet'!M103&lt;&gt;"",'G2 MT Reading Scoresheet'!M103,"")</f>
        <v/>
      </c>
      <c r="N103" s="266" t="str">
        <f>IF('G2 MT Reading Scoresheet'!N103&lt;&gt;"",'G2 MT Reading Scoresheet'!N103,"")</f>
        <v/>
      </c>
      <c r="O103" s="266" t="str">
        <f>IF('G2 MT Reading Scoresheet'!O103&lt;&gt;"",'G2 MT Reading Scoresheet'!O103,"")</f>
        <v/>
      </c>
      <c r="P103" s="118" t="str">
        <f>IF('G2 MT Reading Scoresheet'!P103&lt;&gt;"",'G2 MT Reading Scoresheet'!P103,"")</f>
        <v/>
      </c>
      <c r="Q103" s="122" t="str">
        <f>IF('G2 MT Reading Scoresheet'!Q103&lt;&gt;"",'G2 MT Reading Scoresheet'!Q103,"")</f>
        <v/>
      </c>
      <c r="R103" s="266" t="str">
        <f>IF('G2 MT Reading Scoresheet'!R103&lt;&gt;"",'G2 MT Reading Scoresheet'!R103,"")</f>
        <v/>
      </c>
      <c r="S103" s="266" t="str">
        <f>IF('G2 MT Reading Scoresheet'!S103&lt;&gt;"",'G2 MT Reading Scoresheet'!S103,"")</f>
        <v/>
      </c>
      <c r="T103" s="269" t="str">
        <f>IF('G2 MT Reading Scoresheet'!T103&lt;&gt;"",'G2 MT Reading Scoresheet'!T103,"")</f>
        <v/>
      </c>
      <c r="U103" s="87" t="str">
        <f>IF('G2 MT Reading Scoresheet'!U103&lt;&gt;"",'G2 MT Reading Scoresheet'!U103,"")</f>
        <v/>
      </c>
      <c r="V103" s="270"/>
      <c r="Y103" s="218" t="str">
        <f t="shared" si="2"/>
        <v/>
      </c>
    </row>
    <row r="104" spans="1:25" ht="14.4" x14ac:dyDescent="0.3">
      <c r="A104" s="5">
        <f t="shared" si="1"/>
        <v>94</v>
      </c>
      <c r="B104" s="118" t="str">
        <f>IF('G2 MT Reading Scoresheet'!B104&lt;&gt;"",'G2 MT Reading Scoresheet'!B104,"")</f>
        <v/>
      </c>
      <c r="C104" s="133" t="str">
        <f>IF('G2 MT Reading Scoresheet'!C104&lt;&gt;"",'G2 MT Reading Scoresheet'!C104,"")</f>
        <v/>
      </c>
      <c r="D104" s="134" t="str">
        <f>IF('G2 MT Reading Scoresheet'!D104&lt;&gt;"",'G2 MT Reading Scoresheet'!D104,"")</f>
        <v/>
      </c>
      <c r="E104" s="135" t="str">
        <f>IF('G2 MT Reading Scoresheet'!E104&lt;&gt;"",'G2 MT Reading Scoresheet'!E104,"")</f>
        <v/>
      </c>
      <c r="F104" s="265" t="str">
        <f>IF('G2 MT Reading Scoresheet'!F104&lt;&gt;"",'G2 MT Reading Scoresheet'!F104,"")</f>
        <v/>
      </c>
      <c r="G104" s="262" t="str">
        <f>IF('G2 MT Reading Scoresheet'!G104&lt;&gt;"",'G2 MT Reading Scoresheet'!G104,"")</f>
        <v/>
      </c>
      <c r="H104" s="81" t="str">
        <f>IF('G2 MT Reading Scoresheet'!H104&lt;&gt;"",'G2 MT Reading Scoresheet'!H104,"")</f>
        <v/>
      </c>
      <c r="I104" s="81" t="str">
        <f>IF('G2 MT Reading Scoresheet'!I104&lt;&gt;"",'G2 MT Reading Scoresheet'!I104,"")</f>
        <v/>
      </c>
      <c r="J104" s="82" t="str">
        <f>IF('G2 MT Reading Scoresheet'!J104&lt;&gt;"",'G2 MT Reading Scoresheet'!J104,"")</f>
        <v/>
      </c>
      <c r="K104" s="263" t="str">
        <f>IF('G2 MT Reading Scoresheet'!K104&lt;&gt;"",'G2 MT Reading Scoresheet'!K104,"")</f>
        <v/>
      </c>
      <c r="L104" s="87" t="str">
        <f>IF('G2 MT Reading Scoresheet'!L104&lt;&gt;"",'G2 MT Reading Scoresheet'!L104,"")</f>
        <v/>
      </c>
      <c r="M104" s="118" t="str">
        <f>IF('G2 MT Reading Scoresheet'!M104&lt;&gt;"",'G2 MT Reading Scoresheet'!M104,"")</f>
        <v/>
      </c>
      <c r="N104" s="81" t="str">
        <f>IF('G2 MT Reading Scoresheet'!N104&lt;&gt;"",'G2 MT Reading Scoresheet'!N104,"")</f>
        <v/>
      </c>
      <c r="O104" s="81" t="str">
        <f>IF('G2 MT Reading Scoresheet'!O104&lt;&gt;"",'G2 MT Reading Scoresheet'!O104,"")</f>
        <v/>
      </c>
      <c r="P104" s="118" t="str">
        <f>IF('G2 MT Reading Scoresheet'!P104&lt;&gt;"",'G2 MT Reading Scoresheet'!P104,"")</f>
        <v/>
      </c>
      <c r="Q104" s="122" t="str">
        <f>IF('G2 MT Reading Scoresheet'!Q104&lt;&gt;"",'G2 MT Reading Scoresheet'!Q104,"")</f>
        <v/>
      </c>
      <c r="R104" s="81" t="str">
        <f>IF('G2 MT Reading Scoresheet'!R104&lt;&gt;"",'G2 MT Reading Scoresheet'!R104,"")</f>
        <v/>
      </c>
      <c r="S104" s="81" t="str">
        <f>IF('G2 MT Reading Scoresheet'!S104&lt;&gt;"",'G2 MT Reading Scoresheet'!S104,"")</f>
        <v/>
      </c>
      <c r="T104" s="82" t="str">
        <f>IF('G2 MT Reading Scoresheet'!T104&lt;&gt;"",'G2 MT Reading Scoresheet'!T104,"")</f>
        <v/>
      </c>
      <c r="U104" s="87" t="str">
        <f>IF('G2 MT Reading Scoresheet'!U104&lt;&gt;"",'G2 MT Reading Scoresheet'!U104,"")</f>
        <v/>
      </c>
      <c r="V104" s="264"/>
      <c r="Y104" s="218" t="str">
        <f t="shared" si="2"/>
        <v/>
      </c>
    </row>
    <row r="105" spans="1:25" ht="14.4" x14ac:dyDescent="0.3">
      <c r="A105" s="4">
        <f t="shared" si="1"/>
        <v>95</v>
      </c>
      <c r="B105" s="118" t="str">
        <f>IF('G2 MT Reading Scoresheet'!B105&lt;&gt;"",'G2 MT Reading Scoresheet'!B105,"")</f>
        <v/>
      </c>
      <c r="C105" s="133" t="str">
        <f>IF('G2 MT Reading Scoresheet'!C105&lt;&gt;"",'G2 MT Reading Scoresheet'!C105,"")</f>
        <v/>
      </c>
      <c r="D105" s="134" t="str">
        <f>IF('G2 MT Reading Scoresheet'!D105&lt;&gt;"",'G2 MT Reading Scoresheet'!D105,"")</f>
        <v/>
      </c>
      <c r="E105" s="135" t="str">
        <f>IF('G2 MT Reading Scoresheet'!E105&lt;&gt;"",'G2 MT Reading Scoresheet'!E105,"")</f>
        <v/>
      </c>
      <c r="F105" s="261" t="str">
        <f>IF('G2 MT Reading Scoresheet'!F105&lt;&gt;"",'G2 MT Reading Scoresheet'!F105,"")</f>
        <v/>
      </c>
      <c r="G105" s="255" t="str">
        <f>IF('G2 MT Reading Scoresheet'!G105&lt;&gt;"",'G2 MT Reading Scoresheet'!G105,"")</f>
        <v/>
      </c>
      <c r="H105" s="266" t="str">
        <f>IF('G2 MT Reading Scoresheet'!H105&lt;&gt;"",'G2 MT Reading Scoresheet'!H105,"")</f>
        <v/>
      </c>
      <c r="I105" s="81" t="str">
        <f>IF('G2 MT Reading Scoresheet'!I105&lt;&gt;"",'G2 MT Reading Scoresheet'!I105,"")</f>
        <v/>
      </c>
      <c r="J105" s="82" t="str">
        <f>IF('G2 MT Reading Scoresheet'!J105&lt;&gt;"",'G2 MT Reading Scoresheet'!J105,"")</f>
        <v/>
      </c>
      <c r="K105" s="267" t="str">
        <f>IF('G2 MT Reading Scoresheet'!K105&lt;&gt;"",'G2 MT Reading Scoresheet'!K105,"")</f>
        <v/>
      </c>
      <c r="L105" s="268" t="str">
        <f>IF('G2 MT Reading Scoresheet'!L105&lt;&gt;"",'G2 MT Reading Scoresheet'!L105,"")</f>
        <v/>
      </c>
      <c r="M105" s="118" t="str">
        <f>IF('G2 MT Reading Scoresheet'!M105&lt;&gt;"",'G2 MT Reading Scoresheet'!M105,"")</f>
        <v/>
      </c>
      <c r="N105" s="266" t="str">
        <f>IF('G2 MT Reading Scoresheet'!N105&lt;&gt;"",'G2 MT Reading Scoresheet'!N105,"")</f>
        <v/>
      </c>
      <c r="O105" s="266" t="str">
        <f>IF('G2 MT Reading Scoresheet'!O105&lt;&gt;"",'G2 MT Reading Scoresheet'!O105,"")</f>
        <v/>
      </c>
      <c r="P105" s="118" t="str">
        <f>IF('G2 MT Reading Scoresheet'!P105&lt;&gt;"",'G2 MT Reading Scoresheet'!P105,"")</f>
        <v/>
      </c>
      <c r="Q105" s="122" t="str">
        <f>IF('G2 MT Reading Scoresheet'!Q105&lt;&gt;"",'G2 MT Reading Scoresheet'!Q105,"")</f>
        <v/>
      </c>
      <c r="R105" s="266" t="str">
        <f>IF('G2 MT Reading Scoresheet'!R105&lt;&gt;"",'G2 MT Reading Scoresheet'!R105,"")</f>
        <v/>
      </c>
      <c r="S105" s="266" t="str">
        <f>IF('G2 MT Reading Scoresheet'!S105&lt;&gt;"",'G2 MT Reading Scoresheet'!S105,"")</f>
        <v/>
      </c>
      <c r="T105" s="269" t="str">
        <f>IF('G2 MT Reading Scoresheet'!T105&lt;&gt;"",'G2 MT Reading Scoresheet'!T105,"")</f>
        <v/>
      </c>
      <c r="U105" s="87" t="str">
        <f>IF('G2 MT Reading Scoresheet'!U105&lt;&gt;"",'G2 MT Reading Scoresheet'!U105,"")</f>
        <v/>
      </c>
      <c r="V105" s="270"/>
      <c r="Y105" s="218" t="str">
        <f t="shared" si="2"/>
        <v/>
      </c>
    </row>
    <row r="106" spans="1:25" ht="14.4" x14ac:dyDescent="0.3">
      <c r="A106" s="5">
        <f t="shared" si="1"/>
        <v>96</v>
      </c>
      <c r="B106" s="118" t="str">
        <f>IF('G2 MT Reading Scoresheet'!B106&lt;&gt;"",'G2 MT Reading Scoresheet'!B106,"")</f>
        <v/>
      </c>
      <c r="C106" s="133" t="str">
        <f>IF('G2 MT Reading Scoresheet'!C106&lt;&gt;"",'G2 MT Reading Scoresheet'!C106,"")</f>
        <v/>
      </c>
      <c r="D106" s="134" t="str">
        <f>IF('G2 MT Reading Scoresheet'!D106&lt;&gt;"",'G2 MT Reading Scoresheet'!D106,"")</f>
        <v/>
      </c>
      <c r="E106" s="135" t="str">
        <f>IF('G2 MT Reading Scoresheet'!E106&lt;&gt;"",'G2 MT Reading Scoresheet'!E106,"")</f>
        <v/>
      </c>
      <c r="F106" s="265" t="str">
        <f>IF('G2 MT Reading Scoresheet'!F106&lt;&gt;"",'G2 MT Reading Scoresheet'!F106,"")</f>
        <v/>
      </c>
      <c r="G106" s="262" t="str">
        <f>IF('G2 MT Reading Scoresheet'!G106&lt;&gt;"",'G2 MT Reading Scoresheet'!G106,"")</f>
        <v/>
      </c>
      <c r="H106" s="81" t="str">
        <f>IF('G2 MT Reading Scoresheet'!H106&lt;&gt;"",'G2 MT Reading Scoresheet'!H106,"")</f>
        <v/>
      </c>
      <c r="I106" s="81" t="str">
        <f>IF('G2 MT Reading Scoresheet'!I106&lt;&gt;"",'G2 MT Reading Scoresheet'!I106,"")</f>
        <v/>
      </c>
      <c r="J106" s="82" t="str">
        <f>IF('G2 MT Reading Scoresheet'!J106&lt;&gt;"",'G2 MT Reading Scoresheet'!J106,"")</f>
        <v/>
      </c>
      <c r="K106" s="263" t="str">
        <f>IF('G2 MT Reading Scoresheet'!K106&lt;&gt;"",'G2 MT Reading Scoresheet'!K106,"")</f>
        <v/>
      </c>
      <c r="L106" s="87" t="str">
        <f>IF('G2 MT Reading Scoresheet'!L106&lt;&gt;"",'G2 MT Reading Scoresheet'!L106,"")</f>
        <v/>
      </c>
      <c r="M106" s="118" t="str">
        <f>IF('G2 MT Reading Scoresheet'!M106&lt;&gt;"",'G2 MT Reading Scoresheet'!M106,"")</f>
        <v/>
      </c>
      <c r="N106" s="81" t="str">
        <f>IF('G2 MT Reading Scoresheet'!N106&lt;&gt;"",'G2 MT Reading Scoresheet'!N106,"")</f>
        <v/>
      </c>
      <c r="O106" s="81" t="str">
        <f>IF('G2 MT Reading Scoresheet'!O106&lt;&gt;"",'G2 MT Reading Scoresheet'!O106,"")</f>
        <v/>
      </c>
      <c r="P106" s="118" t="str">
        <f>IF('G2 MT Reading Scoresheet'!P106&lt;&gt;"",'G2 MT Reading Scoresheet'!P106,"")</f>
        <v/>
      </c>
      <c r="Q106" s="122" t="str">
        <f>IF('G2 MT Reading Scoresheet'!Q106&lt;&gt;"",'G2 MT Reading Scoresheet'!Q106,"")</f>
        <v/>
      </c>
      <c r="R106" s="81" t="str">
        <f>IF('G2 MT Reading Scoresheet'!R106&lt;&gt;"",'G2 MT Reading Scoresheet'!R106,"")</f>
        <v/>
      </c>
      <c r="S106" s="81" t="str">
        <f>IF('G2 MT Reading Scoresheet'!S106&lt;&gt;"",'G2 MT Reading Scoresheet'!S106,"")</f>
        <v/>
      </c>
      <c r="T106" s="82" t="str">
        <f>IF('G2 MT Reading Scoresheet'!T106&lt;&gt;"",'G2 MT Reading Scoresheet'!T106,"")</f>
        <v/>
      </c>
      <c r="U106" s="87" t="str">
        <f>IF('G2 MT Reading Scoresheet'!U106&lt;&gt;"",'G2 MT Reading Scoresheet'!U106,"")</f>
        <v/>
      </c>
      <c r="V106" s="264"/>
      <c r="Y106" s="218" t="str">
        <f t="shared" si="2"/>
        <v/>
      </c>
    </row>
    <row r="107" spans="1:25" ht="14.4" x14ac:dyDescent="0.3">
      <c r="A107" s="4">
        <f t="shared" si="1"/>
        <v>97</v>
      </c>
      <c r="B107" s="118" t="str">
        <f>IF('G2 MT Reading Scoresheet'!B107&lt;&gt;"",'G2 MT Reading Scoresheet'!B107,"")</f>
        <v/>
      </c>
      <c r="C107" s="133" t="str">
        <f>IF('G2 MT Reading Scoresheet'!C107&lt;&gt;"",'G2 MT Reading Scoresheet'!C107,"")</f>
        <v/>
      </c>
      <c r="D107" s="134" t="str">
        <f>IF('G2 MT Reading Scoresheet'!D107&lt;&gt;"",'G2 MT Reading Scoresheet'!D107,"")</f>
        <v/>
      </c>
      <c r="E107" s="135" t="str">
        <f>IF('G2 MT Reading Scoresheet'!E107&lt;&gt;"",'G2 MT Reading Scoresheet'!E107,"")</f>
        <v/>
      </c>
      <c r="F107" s="261" t="str">
        <f>IF('G2 MT Reading Scoresheet'!F107&lt;&gt;"",'G2 MT Reading Scoresheet'!F107,"")</f>
        <v/>
      </c>
      <c r="G107" s="255" t="str">
        <f>IF('G2 MT Reading Scoresheet'!G107&lt;&gt;"",'G2 MT Reading Scoresheet'!G107,"")</f>
        <v/>
      </c>
      <c r="H107" s="266" t="str">
        <f>IF('G2 MT Reading Scoresheet'!H107&lt;&gt;"",'G2 MT Reading Scoresheet'!H107,"")</f>
        <v/>
      </c>
      <c r="I107" s="81" t="str">
        <f>IF('G2 MT Reading Scoresheet'!I107&lt;&gt;"",'G2 MT Reading Scoresheet'!I107,"")</f>
        <v/>
      </c>
      <c r="J107" s="82" t="str">
        <f>IF('G2 MT Reading Scoresheet'!J107&lt;&gt;"",'G2 MT Reading Scoresheet'!J107,"")</f>
        <v/>
      </c>
      <c r="K107" s="267" t="str">
        <f>IF('G2 MT Reading Scoresheet'!K107&lt;&gt;"",'G2 MT Reading Scoresheet'!K107,"")</f>
        <v/>
      </c>
      <c r="L107" s="268" t="str">
        <f>IF('G2 MT Reading Scoresheet'!L107&lt;&gt;"",'G2 MT Reading Scoresheet'!L107,"")</f>
        <v/>
      </c>
      <c r="M107" s="118" t="str">
        <f>IF('G2 MT Reading Scoresheet'!M107&lt;&gt;"",'G2 MT Reading Scoresheet'!M107,"")</f>
        <v/>
      </c>
      <c r="N107" s="266" t="str">
        <f>IF('G2 MT Reading Scoresheet'!N107&lt;&gt;"",'G2 MT Reading Scoresheet'!N107,"")</f>
        <v/>
      </c>
      <c r="O107" s="266" t="str">
        <f>IF('G2 MT Reading Scoresheet'!O107&lt;&gt;"",'G2 MT Reading Scoresheet'!O107,"")</f>
        <v/>
      </c>
      <c r="P107" s="118" t="str">
        <f>IF('G2 MT Reading Scoresheet'!P107&lt;&gt;"",'G2 MT Reading Scoresheet'!P107,"")</f>
        <v/>
      </c>
      <c r="Q107" s="122" t="str">
        <f>IF('G2 MT Reading Scoresheet'!Q107&lt;&gt;"",'G2 MT Reading Scoresheet'!Q107,"")</f>
        <v/>
      </c>
      <c r="R107" s="266" t="str">
        <f>IF('G2 MT Reading Scoresheet'!R107&lt;&gt;"",'G2 MT Reading Scoresheet'!R107,"")</f>
        <v/>
      </c>
      <c r="S107" s="266" t="str">
        <f>IF('G2 MT Reading Scoresheet'!S107&lt;&gt;"",'G2 MT Reading Scoresheet'!S107,"")</f>
        <v/>
      </c>
      <c r="T107" s="269" t="str">
        <f>IF('G2 MT Reading Scoresheet'!T107&lt;&gt;"",'G2 MT Reading Scoresheet'!T107,"")</f>
        <v/>
      </c>
      <c r="U107" s="87" t="str">
        <f>IF('G2 MT Reading Scoresheet'!U107&lt;&gt;"",'G2 MT Reading Scoresheet'!U107,"")</f>
        <v/>
      </c>
      <c r="V107" s="270"/>
      <c r="Y107" s="218" t="str">
        <f t="shared" si="2"/>
        <v/>
      </c>
    </row>
    <row r="108" spans="1:25" ht="14.4" x14ac:dyDescent="0.3">
      <c r="A108" s="5">
        <f t="shared" si="1"/>
        <v>98</v>
      </c>
      <c r="B108" s="118" t="str">
        <f>IF('G2 MT Reading Scoresheet'!B108&lt;&gt;"",'G2 MT Reading Scoresheet'!B108,"")</f>
        <v/>
      </c>
      <c r="C108" s="133" t="str">
        <f>IF('G2 MT Reading Scoresheet'!C108&lt;&gt;"",'G2 MT Reading Scoresheet'!C108,"")</f>
        <v/>
      </c>
      <c r="D108" s="134" t="str">
        <f>IF('G2 MT Reading Scoresheet'!D108&lt;&gt;"",'G2 MT Reading Scoresheet'!D108,"")</f>
        <v/>
      </c>
      <c r="E108" s="135" t="str">
        <f>IF('G2 MT Reading Scoresheet'!E108&lt;&gt;"",'G2 MT Reading Scoresheet'!E108,"")</f>
        <v/>
      </c>
      <c r="F108" s="265" t="str">
        <f>IF('G2 MT Reading Scoresheet'!F108&lt;&gt;"",'G2 MT Reading Scoresheet'!F108,"")</f>
        <v/>
      </c>
      <c r="G108" s="262" t="str">
        <f>IF('G2 MT Reading Scoresheet'!G108&lt;&gt;"",'G2 MT Reading Scoresheet'!G108,"")</f>
        <v/>
      </c>
      <c r="H108" s="81" t="str">
        <f>IF('G2 MT Reading Scoresheet'!H108&lt;&gt;"",'G2 MT Reading Scoresheet'!H108,"")</f>
        <v/>
      </c>
      <c r="I108" s="81" t="str">
        <f>IF('G2 MT Reading Scoresheet'!I108&lt;&gt;"",'G2 MT Reading Scoresheet'!I108,"")</f>
        <v/>
      </c>
      <c r="J108" s="82" t="str">
        <f>IF('G2 MT Reading Scoresheet'!J108&lt;&gt;"",'G2 MT Reading Scoresheet'!J108,"")</f>
        <v/>
      </c>
      <c r="K108" s="263" t="str">
        <f>IF('G2 MT Reading Scoresheet'!K108&lt;&gt;"",'G2 MT Reading Scoresheet'!K108,"")</f>
        <v/>
      </c>
      <c r="L108" s="87" t="str">
        <f>IF('G2 MT Reading Scoresheet'!L108&lt;&gt;"",'G2 MT Reading Scoresheet'!L108,"")</f>
        <v/>
      </c>
      <c r="M108" s="118" t="str">
        <f>IF('G2 MT Reading Scoresheet'!M108&lt;&gt;"",'G2 MT Reading Scoresheet'!M108,"")</f>
        <v/>
      </c>
      <c r="N108" s="81" t="str">
        <f>IF('G2 MT Reading Scoresheet'!N108&lt;&gt;"",'G2 MT Reading Scoresheet'!N108,"")</f>
        <v/>
      </c>
      <c r="O108" s="81" t="str">
        <f>IF('G2 MT Reading Scoresheet'!O108&lt;&gt;"",'G2 MT Reading Scoresheet'!O108,"")</f>
        <v/>
      </c>
      <c r="P108" s="118" t="str">
        <f>IF('G2 MT Reading Scoresheet'!P108&lt;&gt;"",'G2 MT Reading Scoresheet'!P108,"")</f>
        <v/>
      </c>
      <c r="Q108" s="122" t="str">
        <f>IF('G2 MT Reading Scoresheet'!Q108&lt;&gt;"",'G2 MT Reading Scoresheet'!Q108,"")</f>
        <v/>
      </c>
      <c r="R108" s="81" t="str">
        <f>IF('G2 MT Reading Scoresheet'!R108&lt;&gt;"",'G2 MT Reading Scoresheet'!R108,"")</f>
        <v/>
      </c>
      <c r="S108" s="81" t="str">
        <f>IF('G2 MT Reading Scoresheet'!S108&lt;&gt;"",'G2 MT Reading Scoresheet'!S108,"")</f>
        <v/>
      </c>
      <c r="T108" s="82" t="str">
        <f>IF('G2 MT Reading Scoresheet'!T108&lt;&gt;"",'G2 MT Reading Scoresheet'!T108,"")</f>
        <v/>
      </c>
      <c r="U108" s="87" t="str">
        <f>IF('G2 MT Reading Scoresheet'!U108&lt;&gt;"",'G2 MT Reading Scoresheet'!U108,"")</f>
        <v/>
      </c>
      <c r="V108" s="264"/>
      <c r="Y108" s="218" t="str">
        <f t="shared" si="2"/>
        <v/>
      </c>
    </row>
    <row r="109" spans="1:25" ht="14.4" x14ac:dyDescent="0.3">
      <c r="A109" s="4">
        <f t="shared" si="1"/>
        <v>99</v>
      </c>
      <c r="B109" s="118" t="str">
        <f>IF('G2 MT Reading Scoresheet'!B109&lt;&gt;"",'G2 MT Reading Scoresheet'!B109,"")</f>
        <v/>
      </c>
      <c r="C109" s="133" t="str">
        <f>IF('G2 MT Reading Scoresheet'!C109&lt;&gt;"",'G2 MT Reading Scoresheet'!C109,"")</f>
        <v/>
      </c>
      <c r="D109" s="134" t="str">
        <f>IF('G2 MT Reading Scoresheet'!D109&lt;&gt;"",'G2 MT Reading Scoresheet'!D109,"")</f>
        <v/>
      </c>
      <c r="E109" s="135" t="str">
        <f>IF('G2 MT Reading Scoresheet'!E109&lt;&gt;"",'G2 MT Reading Scoresheet'!E109,"")</f>
        <v/>
      </c>
      <c r="F109" s="261" t="str">
        <f>IF('G2 MT Reading Scoresheet'!F109&lt;&gt;"",'G2 MT Reading Scoresheet'!F109,"")</f>
        <v/>
      </c>
      <c r="G109" s="255" t="str">
        <f>IF('G2 MT Reading Scoresheet'!G109&lt;&gt;"",'G2 MT Reading Scoresheet'!G109,"")</f>
        <v/>
      </c>
      <c r="H109" s="266" t="str">
        <f>IF('G2 MT Reading Scoresheet'!H109&lt;&gt;"",'G2 MT Reading Scoresheet'!H109,"")</f>
        <v/>
      </c>
      <c r="I109" s="81" t="str">
        <f>IF('G2 MT Reading Scoresheet'!I109&lt;&gt;"",'G2 MT Reading Scoresheet'!I109,"")</f>
        <v/>
      </c>
      <c r="J109" s="82" t="str">
        <f>IF('G2 MT Reading Scoresheet'!J109&lt;&gt;"",'G2 MT Reading Scoresheet'!J109,"")</f>
        <v/>
      </c>
      <c r="K109" s="267" t="str">
        <f>IF('G2 MT Reading Scoresheet'!K109&lt;&gt;"",'G2 MT Reading Scoresheet'!K109,"")</f>
        <v/>
      </c>
      <c r="L109" s="268" t="str">
        <f>IF('G2 MT Reading Scoresheet'!L109&lt;&gt;"",'G2 MT Reading Scoresheet'!L109,"")</f>
        <v/>
      </c>
      <c r="M109" s="118" t="str">
        <f>IF('G2 MT Reading Scoresheet'!M109&lt;&gt;"",'G2 MT Reading Scoresheet'!M109,"")</f>
        <v/>
      </c>
      <c r="N109" s="266" t="str">
        <f>IF('G2 MT Reading Scoresheet'!N109&lt;&gt;"",'G2 MT Reading Scoresheet'!N109,"")</f>
        <v/>
      </c>
      <c r="O109" s="266" t="str">
        <f>IF('G2 MT Reading Scoresheet'!O109&lt;&gt;"",'G2 MT Reading Scoresheet'!O109,"")</f>
        <v/>
      </c>
      <c r="P109" s="118" t="str">
        <f>IF('G2 MT Reading Scoresheet'!P109&lt;&gt;"",'G2 MT Reading Scoresheet'!P109,"")</f>
        <v/>
      </c>
      <c r="Q109" s="122" t="str">
        <f>IF('G2 MT Reading Scoresheet'!Q109&lt;&gt;"",'G2 MT Reading Scoresheet'!Q109,"")</f>
        <v/>
      </c>
      <c r="R109" s="266" t="str">
        <f>IF('G2 MT Reading Scoresheet'!R109&lt;&gt;"",'G2 MT Reading Scoresheet'!R109,"")</f>
        <v/>
      </c>
      <c r="S109" s="266" t="str">
        <f>IF('G2 MT Reading Scoresheet'!S109&lt;&gt;"",'G2 MT Reading Scoresheet'!S109,"")</f>
        <v/>
      </c>
      <c r="T109" s="269" t="str">
        <f>IF('G2 MT Reading Scoresheet'!T109&lt;&gt;"",'G2 MT Reading Scoresheet'!T109,"")</f>
        <v/>
      </c>
      <c r="U109" s="87" t="str">
        <f>IF('G2 MT Reading Scoresheet'!U109&lt;&gt;"",'G2 MT Reading Scoresheet'!U109,"")</f>
        <v/>
      </c>
      <c r="V109" s="270"/>
      <c r="Y109" s="218" t="str">
        <f t="shared" si="2"/>
        <v/>
      </c>
    </row>
    <row r="110" spans="1:25" ht="15" thickBot="1" x14ac:dyDescent="0.35">
      <c r="A110" s="6">
        <v>100</v>
      </c>
      <c r="B110" s="119" t="str">
        <f>IF('G2 MT Reading Scoresheet'!B110&lt;&gt;"",'G2 MT Reading Scoresheet'!B110,"")</f>
        <v/>
      </c>
      <c r="C110" s="136" t="str">
        <f>IF('G2 MT Reading Scoresheet'!C110&lt;&gt;"",'G2 MT Reading Scoresheet'!C110,"")</f>
        <v/>
      </c>
      <c r="D110" s="137" t="str">
        <f>IF('G2 MT Reading Scoresheet'!D110&lt;&gt;"",'G2 MT Reading Scoresheet'!D110,"")</f>
        <v/>
      </c>
      <c r="E110" s="138" t="str">
        <f>IF('G2 MT Reading Scoresheet'!E110&lt;&gt;"",'G2 MT Reading Scoresheet'!E110,"")</f>
        <v/>
      </c>
      <c r="F110" s="271" t="str">
        <f>IF('G2 MT Reading Scoresheet'!F110&lt;&gt;"",'G2 MT Reading Scoresheet'!F110,"")</f>
        <v/>
      </c>
      <c r="G110" s="272" t="str">
        <f>IF('G2 MT Reading Scoresheet'!G110&lt;&gt;"",'G2 MT Reading Scoresheet'!G110,"")</f>
        <v/>
      </c>
      <c r="H110" s="104" t="str">
        <f>IF('G2 MT Reading Scoresheet'!H110&lt;&gt;"",'G2 MT Reading Scoresheet'!H110,"")</f>
        <v/>
      </c>
      <c r="I110" s="104" t="str">
        <f>IF('G2 MT Reading Scoresheet'!I110&lt;&gt;"",'G2 MT Reading Scoresheet'!I110,"")</f>
        <v/>
      </c>
      <c r="J110" s="105" t="str">
        <f>IF('G2 MT Reading Scoresheet'!J110&lt;&gt;"",'G2 MT Reading Scoresheet'!J110,"")</f>
        <v/>
      </c>
      <c r="K110" s="273" t="str">
        <f>IF('G2 MT Reading Scoresheet'!K110&lt;&gt;"",'G2 MT Reading Scoresheet'!K110,"")</f>
        <v/>
      </c>
      <c r="L110" s="109" t="str">
        <f>IF('G2 MT Reading Scoresheet'!L110&lt;&gt;"",'G2 MT Reading Scoresheet'!L110,"")</f>
        <v/>
      </c>
      <c r="M110" s="119" t="str">
        <f>IF('G2 MT Reading Scoresheet'!M110&lt;&gt;"",'G2 MT Reading Scoresheet'!M110,"")</f>
        <v/>
      </c>
      <c r="N110" s="104" t="str">
        <f>IF('G2 MT Reading Scoresheet'!N110&lt;&gt;"",'G2 MT Reading Scoresheet'!N110,"")</f>
        <v/>
      </c>
      <c r="O110" s="104" t="str">
        <f>IF('G2 MT Reading Scoresheet'!O110&lt;&gt;"",'G2 MT Reading Scoresheet'!O110,"")</f>
        <v/>
      </c>
      <c r="P110" s="119" t="str">
        <f>IF('G2 MT Reading Scoresheet'!P110&lt;&gt;"",'G2 MT Reading Scoresheet'!P110,"")</f>
        <v/>
      </c>
      <c r="Q110" s="123" t="str">
        <f>IF('G2 MT Reading Scoresheet'!Q110&lt;&gt;"",'G2 MT Reading Scoresheet'!Q110,"")</f>
        <v/>
      </c>
      <c r="R110" s="104" t="str">
        <f>IF('G2 MT Reading Scoresheet'!R110&lt;&gt;"",'G2 MT Reading Scoresheet'!R110,"")</f>
        <v/>
      </c>
      <c r="S110" s="104" t="str">
        <f>IF('G2 MT Reading Scoresheet'!S110&lt;&gt;"",'G2 MT Reading Scoresheet'!S110,"")</f>
        <v/>
      </c>
      <c r="T110" s="105" t="str">
        <f>IF('G2 MT Reading Scoresheet'!T110&lt;&gt;"",'G2 MT Reading Scoresheet'!T110,"")</f>
        <v/>
      </c>
      <c r="U110" s="109" t="str">
        <f>IF('G2 MT Reading Scoresheet'!U110&lt;&gt;"",'G2 MT Reading Scoresheet'!U110,"")</f>
        <v/>
      </c>
      <c r="V110" s="274"/>
      <c r="Y110" s="218" t="str">
        <f t="shared" si="2"/>
        <v/>
      </c>
    </row>
    <row r="111" spans="1:25" ht="14.4" x14ac:dyDescent="0.3"/>
    <row r="112" spans="1:25" ht="14.4" x14ac:dyDescent="0.3"/>
    <row r="113" ht="14.4" x14ac:dyDescent="0.3"/>
    <row r="114" ht="14.4" x14ac:dyDescent="0.3"/>
    <row r="115" ht="14.4" x14ac:dyDescent="0.3"/>
  </sheetData>
  <sheetProtection algorithmName="SHA-512" hashValue="A1zPHrCgrgvW+8sI9IJ0QqsnfR4qYJEeoph7GSdYSZEcc8TfO6fQ54nAqYn5tc8EOVq0jkyToDHybcfxCFcJ3g==" saltValue="acshWOlEkuPbgHwiUAoXGQ==" spinCount="100000" sheet="1" objects="1" scenarios="1" formatColumns="0" formatRows="0" selectLockedCells="1" autoFilter="0"/>
  <autoFilter ref="B10:U10" xr:uid="{76469186-D64B-48AE-9C3E-F701817A280D}">
    <filterColumn colId="12" showButton="0"/>
  </autoFilter>
  <mergeCells count="26">
    <mergeCell ref="N10:O10"/>
    <mergeCell ref="D4:E4"/>
    <mergeCell ref="N7:O7"/>
    <mergeCell ref="A8:B8"/>
    <mergeCell ref="K8:K9"/>
    <mergeCell ref="L8:L9"/>
    <mergeCell ref="M8:M9"/>
    <mergeCell ref="N8:O9"/>
    <mergeCell ref="K5:P6"/>
    <mergeCell ref="A6:B6"/>
    <mergeCell ref="Q6:T9"/>
    <mergeCell ref="U6:V9"/>
    <mergeCell ref="A7:B7"/>
    <mergeCell ref="D7:E7"/>
    <mergeCell ref="F7:F9"/>
    <mergeCell ref="G7:G9"/>
    <mergeCell ref="H7:H9"/>
    <mergeCell ref="I7:I9"/>
    <mergeCell ref="J5:J9"/>
    <mergeCell ref="P8:P9"/>
    <mergeCell ref="A9:B9"/>
    <mergeCell ref="A3:B3"/>
    <mergeCell ref="A4:B4"/>
    <mergeCell ref="G4:H4"/>
    <mergeCell ref="A5:B5"/>
    <mergeCell ref="F5:I6"/>
  </mergeCells>
  <conditionalFormatting sqref="C5">
    <cfRule type="containsText" dxfId="21" priority="7" operator="containsText" text="[enter school school id here]">
      <formula>NOT(ISERROR(SEARCH("[enter school school id here]",C5)))</formula>
    </cfRule>
  </conditionalFormatting>
  <conditionalFormatting sqref="C6">
    <cfRule type="containsText" dxfId="20" priority="8" operator="containsText" text="[enter teacher name here]">
      <formula>NOT(ISERROR(SEARCH("[enter teacher name here]",C6)))</formula>
    </cfRule>
  </conditionalFormatting>
  <conditionalFormatting sqref="C9">
    <cfRule type="containsText" dxfId="19" priority="6" operator="containsText" text="[choose language here]">
      <formula>NOT(ISERROR(SEARCH("[choose language here]",C9)))</formula>
    </cfRule>
  </conditionalFormatting>
  <conditionalFormatting sqref="D9:E9">
    <cfRule type="expression" dxfId="18" priority="9">
      <formula>$X$9=1</formula>
    </cfRule>
  </conditionalFormatting>
  <conditionalFormatting sqref="G11:G110">
    <cfRule type="expression" dxfId="17" priority="13">
      <formula>$F11 &gt; 6</formula>
    </cfRule>
  </conditionalFormatting>
  <conditionalFormatting sqref="H11:H110">
    <cfRule type="expression" dxfId="16" priority="12">
      <formula>$F11 &lt; 7</formula>
    </cfRule>
  </conditionalFormatting>
  <conditionalFormatting sqref="I4">
    <cfRule type="cellIs" dxfId="15" priority="14" operator="notEqual">
      <formula>$F$4</formula>
    </cfRule>
    <cfRule type="cellIs" dxfId="14" priority="18" operator="lessThan">
      <formula>#REF!+#REF!</formula>
    </cfRule>
    <cfRule type="cellIs" dxfId="13" priority="19" operator="lessThan">
      <formula>#REF!+#REF!</formula>
    </cfRule>
  </conditionalFormatting>
  <conditionalFormatting sqref="J11:J110">
    <cfRule type="containsText" dxfId="12" priority="3" operator="containsText" text="Full">
      <formula>NOT(ISERROR(SEARCH("Full",J11)))</formula>
    </cfRule>
  </conditionalFormatting>
  <conditionalFormatting sqref="K11:T110">
    <cfRule type="expression" dxfId="11" priority="10">
      <formula>$J11="Full Refresher"</formula>
    </cfRule>
  </conditionalFormatting>
  <conditionalFormatting sqref="U11:U110">
    <cfRule type="containsText" dxfId="10" priority="1" operator="containsText" text="Grade Level">
      <formula>NOT(ISERROR(SEARCH("Grade Level",U11)))</formula>
    </cfRule>
    <cfRule type="containsText" dxfId="9" priority="2" operator="containsText" text="Emerging">
      <formula>NOT(ISERROR(SEARCH("Emerging",U11)))</formula>
    </cfRule>
    <cfRule type="expression" dxfId="8" priority="11">
      <formula>AND($J11="Grade Ready",#REF!="Full Intervention")</formula>
    </cfRule>
  </conditionalFormatting>
  <dataValidations count="20">
    <dataValidation allowBlank="1" showInputMessage="1" showErrorMessage="1" error="Enter Level between 1 to 4" sqref="U11:V11 U12:U110" xr:uid="{20C5274C-CC4B-4411-946F-DA1BBAB81F52}"/>
    <dataValidation type="whole" allowBlank="1" showInputMessage="1" showErrorMessage="1" error="Enter Number of Miscue" sqref="L11:L110" xr:uid="{12B56AC1-929C-4304-87BF-A181E00A8058}">
      <formula1>0</formula1>
      <formula2>96</formula2>
    </dataValidation>
    <dataValidation type="custom" allowBlank="1" showInputMessage="1" showErrorMessage="1" errorTitle="Error Message" error="Enter value less than or equal to 10_x000a_If Task 1 score is less than 7, Sentences should be left blank or empty." sqref="H11:H110" xr:uid="{B841410D-EDC6-47C2-855E-F16874566AD4}">
      <formula1>AND( $F11 &gt; 6, $H11 &lt;11)</formula1>
    </dataValidation>
    <dataValidation type="whole" allowBlank="1" showInputMessage="1" showErrorMessage="1" error="Enter Answer between 0 to 6" sqref="R11:R110" xr:uid="{F94107AD-ABF7-445D-8851-A1C8C9747671}">
      <formula1>0</formula1>
      <formula2>6</formula2>
    </dataValidation>
    <dataValidation operator="lessThanOrEqual" allowBlank="1" showInputMessage="1" showErrorMessage="1" errorTitle="Error Message" error="Total Number of Words must be less than or equal to 96" sqref="M11:M110" xr:uid="{450EB8B3-B155-4F60-B969-D89F8ACDE175}"/>
    <dataValidation type="whole" allowBlank="1" showInputMessage="1" showErrorMessage="1" errorTitle="Error Message" error="Must not exceed 2 minutes" sqref="N11:N110" xr:uid="{5935040E-6399-4EFD-B4AD-AFEFBE5D982B}">
      <formula1>0</formula1>
      <formula2>2</formula2>
    </dataValidation>
    <dataValidation type="whole" allowBlank="1" showInputMessage="1" showErrorMessage="1" error="Story 1 or 2" sqref="K11:K110" xr:uid="{60C5F193-255A-4698-A852-3BB59ACEA994}">
      <formula1>1</formula1>
      <formula2>2</formula2>
    </dataValidation>
    <dataValidation type="whole" allowBlank="1" showInputMessage="1" showErrorMessage="1" errorTitle="Error Message" error="Number of seconds between 0 to 59" sqref="O11:O110" xr:uid="{67D34F28-3DC4-406A-A127-9F51F1F1C5A9}">
      <formula1>0</formula1>
      <formula2>59</formula2>
    </dataValidation>
    <dataValidation type="whole" allowBlank="1" showInputMessage="1" showErrorMessage="1" error="Enter Leaner Experience from 1 - 5" sqref="S11:S110" xr:uid="{459574AA-3F55-4ACC-9C50-346DDE25330A}">
      <formula1>1</formula1>
      <formula2>5</formula2>
    </dataValidation>
    <dataValidation type="list" allowBlank="1" showInputMessage="1" showErrorMessage="1" error="Enter Level between 1 to 4" sqref="T11:T110" xr:uid="{F658827E-23C9-4C9E-BE76-3CC6E533A743}">
      <formula1>"Level 1, Level 2, Level 3, Level 4"</formula1>
    </dataValidation>
    <dataValidation type="whole" allowBlank="1" showInputMessage="1" showErrorMessage="1" sqref="D6:E6" xr:uid="{44014A53-9A3D-4462-88BB-C28D2F519B3E}">
      <formula1>0</formula1>
      <formula2>100</formula2>
    </dataValidation>
    <dataValidation operator="lessThanOrEqual" allowBlank="1" showInputMessage="1" showErrorMessage="1" sqref="I4" xr:uid="{D627B09B-7709-447A-9B0A-4020DACFE8C4}"/>
    <dataValidation type="textLength" operator="greaterThan" showInputMessage="1" showErrorMessage="1" error="Enter School Name" sqref="C5" xr:uid="{3A686112-8629-461F-91C8-DBD87C0549E1}">
      <formula1>5</formula1>
    </dataValidation>
    <dataValidation type="whole" allowBlank="1" showInputMessage="1" showErrorMessage="1" error="Enter the 6-digit School ID" sqref="A5 C4" xr:uid="{0E1BFA55-773C-4599-B5A1-96EB8AADD750}">
      <formula1>100000</formula1>
      <formula2>999999</formula2>
    </dataValidation>
    <dataValidation allowBlank="1" showInputMessage="1" showErrorMessage="1" prompt="Choose Language here" sqref="G4 C9" xr:uid="{C8B53D76-AD56-42C0-9860-5027E0B2EB38}"/>
    <dataValidation type="whole" allowBlank="1" showInputMessage="1" showErrorMessage="1" error="Enter Score between 0 to 10" sqref="F11:F110" xr:uid="{84DC1DE5-6FBF-4096-A130-A19ADDAF77D6}">
      <formula1>0</formula1>
      <formula2>10</formula2>
    </dataValidation>
    <dataValidation type="date" errorStyle="warning" allowBlank="1" showInputMessage="1" showErrorMessage="1" error="Enter the Date of Assessment in Correct Format (mm/dd/yy)" sqref="E12:E110" xr:uid="{C02B143A-55CE-4A9D-9738-CEE9C63BA322}">
      <formula1>44197</formula1>
      <formula2>55153</formula2>
    </dataValidation>
    <dataValidation type="list" allowBlank="1" showInputMessage="1" showErrorMessage="1" sqref="D12:D110" xr:uid="{AE350350-AC5E-4484-A8FB-8FF4E5C77D42}">
      <formula1>"Male, Female"</formula1>
    </dataValidation>
    <dataValidation allowBlank="1" showInputMessage="1" showErrorMessage="1" error="Total Words per Story must be between 94 to 96" sqref="D9:E9" xr:uid="{7CA560BE-9761-4920-B96B-F9407927AF28}"/>
    <dataValidation type="custom" allowBlank="1" showInputMessage="1" showErrorMessage="1" errorTitle="Error Message" error="Enter value less than equal to 10_x000a_If Task 1 score is greater than 6, Words should be left blank or empty." sqref="G11:G110" xr:uid="{9C575C8B-355C-40CD-A0B2-60B26EC8BF90}">
      <formula1>AND($F11 &lt; 7, $G11 &lt;11)</formula1>
    </dataValidation>
  </dataValidation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4CB5-DA0A-44B9-A550-F7D0779519F7}">
  <sheetPr codeName="Sheet2"/>
  <dimension ref="A1:R108"/>
  <sheetViews>
    <sheetView workbookViewId="0">
      <pane xSplit="3" ySplit="8" topLeftCell="H9" activePane="bottomRight" state="frozen"/>
      <selection pane="topRight" activeCell="D1" sqref="D1"/>
      <selection pane="bottomLeft" activeCell="A9" sqref="A9"/>
      <selection pane="bottomRight" activeCell="F9" sqref="F9"/>
    </sheetView>
  </sheetViews>
  <sheetFormatPr defaultColWidth="8.88671875" defaultRowHeight="14.4" x14ac:dyDescent="0.3"/>
  <cols>
    <col min="1" max="1" width="5.5546875" customWidth="1"/>
    <col min="2" max="2" width="14.77734375" customWidth="1"/>
    <col min="3" max="3" width="30.88671875" customWidth="1"/>
    <col min="4" max="4" width="10.21875" style="1" customWidth="1"/>
    <col min="5" max="5" width="20.21875" style="7" customWidth="1"/>
    <col min="6" max="6" width="10" style="7" customWidth="1"/>
    <col min="7" max="7" width="9.5546875" style="7" customWidth="1"/>
    <col min="8" max="8" width="13.5546875" style="7" customWidth="1"/>
    <col min="9" max="9" width="9.44140625" style="7" customWidth="1"/>
    <col min="10" max="10" width="25.77734375" style="1" customWidth="1"/>
    <col min="11" max="11" width="19" style="7" customWidth="1"/>
    <col min="12" max="12" width="9.109375" style="7" customWidth="1"/>
    <col min="13" max="13" width="8.77734375" style="7" customWidth="1"/>
    <col min="14" max="14" width="14.44140625" style="7" customWidth="1"/>
    <col min="15" max="15" width="8.33203125" style="7" customWidth="1"/>
    <col min="16" max="16" width="25.77734375" style="1" customWidth="1"/>
    <col min="17" max="17" width="40.33203125" style="1" customWidth="1"/>
    <col min="18" max="18" width="5.109375" customWidth="1"/>
    <col min="19" max="22" width="8.88671875" customWidth="1"/>
    <col min="23" max="24" width="13.6640625" customWidth="1"/>
    <col min="25" max="25" width="8.88671875" customWidth="1"/>
    <col min="26" max="29" width="13.6640625" customWidth="1"/>
  </cols>
  <sheetData>
    <row r="1" spans="1:18" x14ac:dyDescent="0.3">
      <c r="A1" t="s">
        <v>153</v>
      </c>
    </row>
    <row r="2" spans="1:18" ht="18" customHeight="1" x14ac:dyDescent="0.3"/>
    <row r="4" spans="1:18" ht="25.95" customHeight="1" thickBot="1" x14ac:dyDescent="0.35"/>
    <row r="5" spans="1:18" s="253" customFormat="1" ht="17.399999999999999" customHeight="1" x14ac:dyDescent="0.3">
      <c r="A5" s="342" t="s">
        <v>0</v>
      </c>
      <c r="B5" s="343"/>
      <c r="C5" s="346">
        <f>'G2 MT Reading Scoresheet'!$C$5</f>
        <v>0</v>
      </c>
      <c r="D5" s="346"/>
      <c r="E5" s="349" t="s">
        <v>111</v>
      </c>
      <c r="F5" s="349"/>
      <c r="G5" s="349"/>
      <c r="H5" s="349"/>
      <c r="I5" s="349"/>
      <c r="J5" s="349"/>
      <c r="K5" s="349"/>
      <c r="L5" s="349"/>
      <c r="M5" s="349"/>
      <c r="N5" s="349"/>
      <c r="O5" s="349"/>
      <c r="P5" s="349"/>
      <c r="Q5" s="350"/>
    </row>
    <row r="6" spans="1:18" s="253" customFormat="1" ht="18" customHeight="1" x14ac:dyDescent="0.3">
      <c r="A6" s="344" t="s">
        <v>1</v>
      </c>
      <c r="B6" s="345"/>
      <c r="C6" s="347">
        <f>'G2 MT Reading Scoresheet'!C6</f>
        <v>0</v>
      </c>
      <c r="D6" s="347"/>
      <c r="E6" s="348" t="str">
        <f>CONCATENATE("MOTHER TONGUE","(",'G2 MT Reading Scoresheet'!C9,")")</f>
        <v>MOTHER TONGUE(Tagalog)</v>
      </c>
      <c r="F6" s="348"/>
      <c r="G6" s="348"/>
      <c r="H6" s="348"/>
      <c r="I6" s="348"/>
      <c r="J6" s="348"/>
      <c r="K6" s="340" t="s">
        <v>107</v>
      </c>
      <c r="L6" s="340"/>
      <c r="M6" s="340"/>
      <c r="N6" s="340"/>
      <c r="O6" s="340"/>
      <c r="P6" s="340"/>
      <c r="Q6" s="341" t="s">
        <v>8</v>
      </c>
    </row>
    <row r="7" spans="1:18" s="253" customFormat="1" ht="18" customHeight="1" x14ac:dyDescent="0.3">
      <c r="A7" s="344" t="s">
        <v>2</v>
      </c>
      <c r="B7" s="345"/>
      <c r="C7" s="347" t="s">
        <v>3</v>
      </c>
      <c r="D7" s="347"/>
      <c r="E7" s="351" t="s">
        <v>84</v>
      </c>
      <c r="F7" s="351"/>
      <c r="G7" s="351" t="s">
        <v>186</v>
      </c>
      <c r="H7" s="351"/>
      <c r="I7" s="351"/>
      <c r="J7" s="352" t="s">
        <v>102</v>
      </c>
      <c r="K7" s="353" t="s">
        <v>84</v>
      </c>
      <c r="L7" s="353"/>
      <c r="M7" s="337" t="s">
        <v>186</v>
      </c>
      <c r="N7" s="338"/>
      <c r="O7" s="339"/>
      <c r="P7" s="213"/>
      <c r="Q7" s="341"/>
    </row>
    <row r="8" spans="1:18" s="253" customFormat="1" ht="34.200000000000003" customHeight="1" x14ac:dyDescent="0.3">
      <c r="A8" s="13" t="s">
        <v>9</v>
      </c>
      <c r="B8" s="15" t="s">
        <v>33</v>
      </c>
      <c r="C8" s="16" t="s">
        <v>10</v>
      </c>
      <c r="D8" s="14" t="s">
        <v>30</v>
      </c>
      <c r="E8" s="209" t="s">
        <v>178</v>
      </c>
      <c r="F8" s="209" t="s">
        <v>179</v>
      </c>
      <c r="G8" s="209" t="s">
        <v>180</v>
      </c>
      <c r="H8" s="212" t="s">
        <v>181</v>
      </c>
      <c r="I8" s="212" t="s">
        <v>187</v>
      </c>
      <c r="J8" s="352"/>
      <c r="K8" s="208" t="s">
        <v>178</v>
      </c>
      <c r="L8" s="214" t="s">
        <v>179</v>
      </c>
      <c r="M8" s="214" t="s">
        <v>180</v>
      </c>
      <c r="N8" s="214" t="s">
        <v>181</v>
      </c>
      <c r="O8" s="214" t="s">
        <v>187</v>
      </c>
      <c r="P8" s="56" t="s">
        <v>102</v>
      </c>
      <c r="Q8" s="341"/>
    </row>
    <row r="9" spans="1:18" x14ac:dyDescent="0.3">
      <c r="A9" s="43">
        <v>1</v>
      </c>
      <c r="B9" s="49" t="str">
        <f>IF('G2 MT Reading Scoresheet'!B11&lt;&gt;"",'G2 MT Reading Scoresheet'!B11,"")</f>
        <v/>
      </c>
      <c r="C9" s="50" t="str">
        <f>IF('G2 MT Reading Scoresheet'!C11&lt;&gt;"",'G2 MT Reading Scoresheet'!C11,"")</f>
        <v/>
      </c>
      <c r="D9" s="51" t="str">
        <f>IF('G2 MT Reading Scoresheet'!D11&lt;&gt;"",'G2 MT Reading Scoresheet'!D11,"")</f>
        <v/>
      </c>
      <c r="E9" s="210" t="str">
        <f>'G2 MT Reading Scoresheet'!$J11</f>
        <v/>
      </c>
      <c r="F9" s="241" t="str">
        <f>IF(C9&lt;&gt;"",'G2 MT Reading Scoresheet'!$I11/30,"")</f>
        <v/>
      </c>
      <c r="G9" s="241" t="str">
        <f>IF(AND($C9&lt;&gt;"",$E9&lt;&gt;"Full Refresher"),'G2 MT Reading Scoresheet'!$Q11,"")</f>
        <v/>
      </c>
      <c r="H9" s="241" t="str">
        <f>IF(AND(C9&lt;&gt;"",E9&lt;&gt;"Full Refresher"),'G2 MT Reading Scoresheet'!$R11/6,"")</f>
        <v/>
      </c>
      <c r="I9" s="210" t="str">
        <f>IF(AND(C9&lt;&gt;"",F9&lt;&gt;"Full Refresher"),'G2 MT Reading Scoresheet'!$P11,"")</f>
        <v/>
      </c>
      <c r="J9" s="242" t="str">
        <f>'G2 MT Reading Scoresheet'!$U11</f>
        <v/>
      </c>
      <c r="K9" s="57" t="str">
        <f>'G2 FIL Reading Scoresheet'!$J11</f>
        <v/>
      </c>
      <c r="L9" s="243" t="str">
        <f>IF($C9&lt;&gt;"",'G2 FIL Reading Scoresheet'!$I11/30,"")</f>
        <v/>
      </c>
      <c r="M9" s="243" t="str">
        <f>IF(AND($C9&lt;&gt;"",$K9&lt;&gt;"Full Refresher"),'G2 FIL Reading Scoresheet'!$Q11,"")</f>
        <v/>
      </c>
      <c r="N9" s="243" t="str">
        <f>IF(AND($C9&lt;&gt;"",K9&lt;&gt;"Full Refresher"),'G2 FIL Reading Scoresheet'!$R11/6,"")</f>
        <v/>
      </c>
      <c r="O9" s="57" t="str">
        <f>IF(AND(C9&lt;&gt;"",K9&lt;&gt;"Full Refresher"),'G2 FIL Reading Scoresheet'!$P11,"")</f>
        <v/>
      </c>
      <c r="P9" s="244" t="str">
        <f>'G2 FIL Reading Scoresheet'!$U11</f>
        <v/>
      </c>
      <c r="Q9" s="52" t="str">
        <f>CONCATENATE(IF(ISBLANK('G2 MT Reading Scoresheet'!V11),"",CONCATENATE("MT:",TRIM('G2 MT Reading Scoresheet'!V11)))," ",IF(ISBLANK('G2 FIL Reading Scoresheet'!V11),"",CONCATENATE("FIL:",TRIM('G2 FIL Reading Scoresheet'!V11))))</f>
        <v xml:space="preserve"> </v>
      </c>
      <c r="R9" t="s">
        <v>12</v>
      </c>
    </row>
    <row r="10" spans="1:18" ht="13.8" customHeight="1" x14ac:dyDescent="0.3">
      <c r="A10" s="44">
        <v>2</v>
      </c>
      <c r="B10" s="45" t="str">
        <f>IF('G2 MT Reading Scoresheet'!B12&lt;&gt;"",'G2 MT Reading Scoresheet'!B12,"")</f>
        <v/>
      </c>
      <c r="C10" s="46" t="str">
        <f>IF('G2 MT Reading Scoresheet'!C12&lt;&gt;"",'G2 MT Reading Scoresheet'!C12,"")</f>
        <v/>
      </c>
      <c r="D10" s="47" t="str">
        <f>IF('G2 MT Reading Scoresheet'!D12&lt;&gt;"",'G2 MT Reading Scoresheet'!D12,"")</f>
        <v/>
      </c>
      <c r="E10" s="210" t="str">
        <f>'G2 MT Reading Scoresheet'!$J12</f>
        <v/>
      </c>
      <c r="F10" s="241" t="str">
        <f>IF(C10&lt;&gt;"",'G2 MT Reading Scoresheet'!$I12/30,"")</f>
        <v/>
      </c>
      <c r="G10" s="241" t="str">
        <f>IF(AND($C10&lt;&gt;"",$E10&lt;&gt;"Full Refresher"),'G2 MT Reading Scoresheet'!$Q12,"")</f>
        <v/>
      </c>
      <c r="H10" s="241" t="str">
        <f>IF(AND(C10&lt;&gt;"",E10&lt;&gt;"Full Refresher"),'G2 MT Reading Scoresheet'!$R12/6,"")</f>
        <v/>
      </c>
      <c r="I10" s="210" t="str">
        <f>IF(AND(D10&lt;&gt;"",F10&lt;&gt;"Full Refresher"),'G2 MT Reading Scoresheet'!$P12,"")</f>
        <v/>
      </c>
      <c r="J10" s="245" t="str">
        <f>'G2 MT Reading Scoresheet'!$U12</f>
        <v/>
      </c>
      <c r="K10" s="57" t="str">
        <f>'G2 FIL Reading Scoresheet'!$J12</f>
        <v/>
      </c>
      <c r="L10" s="243" t="str">
        <f>IF($C10&lt;&gt;"",'G2 FIL Reading Scoresheet'!$I12/30,"")</f>
        <v/>
      </c>
      <c r="M10" s="243" t="str">
        <f>IF(AND($C10&lt;&gt;"",$K10&lt;&gt;"Full Refresher"),'G2 FIL Reading Scoresheet'!$Q12,"")</f>
        <v/>
      </c>
      <c r="N10" s="243" t="str">
        <f>IF(AND($C10&lt;&gt;"",K10&lt;&gt;"Full Refresher"),'G2 FIL Reading Scoresheet'!$R12/6,"")</f>
        <v/>
      </c>
      <c r="O10" s="57" t="str">
        <f>IF(AND(C10&lt;&gt;"",K10&lt;&gt;"Full Refresher"),'G2 FIL Reading Scoresheet'!$P12,"")</f>
        <v/>
      </c>
      <c r="P10" s="246" t="str">
        <f>'G2 FIL Reading Scoresheet'!$U12</f>
        <v/>
      </c>
      <c r="Q10" s="48" t="str">
        <f>CONCATENATE(IF(ISBLANK('G2 MT Reading Scoresheet'!V12),"",CONCATENATE("MT:",TRIM('G2 MT Reading Scoresheet'!V12)))," ",IF(ISBLANK('G2 FIL Reading Scoresheet'!V12),"",CONCATENATE("FIL:",TRIM('G2 FIL Reading Scoresheet'!V12))))</f>
        <v xml:space="preserve"> </v>
      </c>
    </row>
    <row r="11" spans="1:18" x14ac:dyDescent="0.3">
      <c r="A11" s="43">
        <v>3</v>
      </c>
      <c r="B11" s="49" t="str">
        <f>IF('G2 MT Reading Scoresheet'!B13&lt;&gt;"",'G2 MT Reading Scoresheet'!B13,"")</f>
        <v/>
      </c>
      <c r="C11" s="50" t="str">
        <f>IF('G2 MT Reading Scoresheet'!C13&lt;&gt;"",'G2 MT Reading Scoresheet'!C13,"")</f>
        <v/>
      </c>
      <c r="D11" s="51" t="str">
        <f>IF('G2 MT Reading Scoresheet'!D13&lt;&gt;"",'G2 MT Reading Scoresheet'!D13,"")</f>
        <v/>
      </c>
      <c r="E11" s="210" t="str">
        <f>'G2 MT Reading Scoresheet'!$J13</f>
        <v/>
      </c>
      <c r="F11" s="241" t="str">
        <f>IF(C11&lt;&gt;"",'G2 MT Reading Scoresheet'!$I13/30,"")</f>
        <v/>
      </c>
      <c r="G11" s="241" t="str">
        <f>IF(AND($C11&lt;&gt;"",$E11&lt;&gt;"Full Refresher"),'G2 MT Reading Scoresheet'!$Q13,"")</f>
        <v/>
      </c>
      <c r="H11" s="241" t="str">
        <f>IF(AND(C11&lt;&gt;"",E11&lt;&gt;"Full Refresher"),'G2 MT Reading Scoresheet'!$R13/6,"")</f>
        <v/>
      </c>
      <c r="I11" s="210" t="str">
        <f>IF(AND(D11&lt;&gt;"",F11&lt;&gt;"Full Refresher"),'G2 MT Reading Scoresheet'!$P13,"")</f>
        <v/>
      </c>
      <c r="J11" s="245" t="str">
        <f>'G2 MT Reading Scoresheet'!$U13</f>
        <v/>
      </c>
      <c r="K11" s="57" t="str">
        <f>'G2 FIL Reading Scoresheet'!$J13</f>
        <v/>
      </c>
      <c r="L11" s="243" t="str">
        <f>IF($C11&lt;&gt;"",'G2 FIL Reading Scoresheet'!$I13/30,"")</f>
        <v/>
      </c>
      <c r="M11" s="243" t="str">
        <f>IF(AND($C11&lt;&gt;"",$K11&lt;&gt;"Full Refresher"),'G2 FIL Reading Scoresheet'!$Q13,"")</f>
        <v/>
      </c>
      <c r="N11" s="243" t="str">
        <f>IF(AND($C11&lt;&gt;"",K11&lt;&gt;"Full Refresher"),'G2 FIL Reading Scoresheet'!$R13/6,"")</f>
        <v/>
      </c>
      <c r="O11" s="57" t="str">
        <f>IF(AND(C11&lt;&gt;"",K11&lt;&gt;"Full Refresher"),'G2 FIL Reading Scoresheet'!$P13,"")</f>
        <v/>
      </c>
      <c r="P11" s="246" t="str">
        <f>'G2 FIL Reading Scoresheet'!$U13</f>
        <v/>
      </c>
      <c r="Q11" s="52" t="str">
        <f>CONCATENATE(IF(ISBLANK('G2 MT Reading Scoresheet'!V13),"",CONCATENATE("MT:",TRIM('G2 MT Reading Scoresheet'!V13)))," ",IF(ISBLANK('G2 FIL Reading Scoresheet'!V13),"",CONCATENATE("FIL:",TRIM('G2 FIL Reading Scoresheet'!V13))))</f>
        <v xml:space="preserve"> </v>
      </c>
    </row>
    <row r="12" spans="1:18" x14ac:dyDescent="0.3">
      <c r="A12" s="44">
        <v>4</v>
      </c>
      <c r="B12" s="45" t="str">
        <f>IF('G2 MT Reading Scoresheet'!B14&lt;&gt;"",'G2 MT Reading Scoresheet'!B14,"")</f>
        <v/>
      </c>
      <c r="C12" s="46" t="str">
        <f>IF('G2 MT Reading Scoresheet'!C14&lt;&gt;"",'G2 MT Reading Scoresheet'!C14,"")</f>
        <v/>
      </c>
      <c r="D12" s="47" t="str">
        <f>IF('G2 MT Reading Scoresheet'!D14&lt;&gt;"",'G2 MT Reading Scoresheet'!D14,"")</f>
        <v/>
      </c>
      <c r="E12" s="210" t="str">
        <f>'G2 MT Reading Scoresheet'!$J14</f>
        <v/>
      </c>
      <c r="F12" s="241" t="str">
        <f>IF(C12&lt;&gt;"",'G2 MT Reading Scoresheet'!$I14/30,"")</f>
        <v/>
      </c>
      <c r="G12" s="241" t="str">
        <f>IF(AND($C12&lt;&gt;"",$E12&lt;&gt;"Full Refresher"),'G2 MT Reading Scoresheet'!$Q14,"")</f>
        <v/>
      </c>
      <c r="H12" s="241" t="str">
        <f>IF(AND(C12&lt;&gt;"",E12&lt;&gt;"Full Refresher"),'G2 MT Reading Scoresheet'!$R14/6,"")</f>
        <v/>
      </c>
      <c r="I12" s="210" t="str">
        <f>IF(AND(D12&lt;&gt;"",F12&lt;&gt;"Full Refresher"),'G2 MT Reading Scoresheet'!$P14,"")</f>
        <v/>
      </c>
      <c r="J12" s="245" t="str">
        <f>'G2 MT Reading Scoresheet'!$U14</f>
        <v/>
      </c>
      <c r="K12" s="57" t="str">
        <f>'G2 FIL Reading Scoresheet'!$J14</f>
        <v/>
      </c>
      <c r="L12" s="243" t="str">
        <f>IF($C12&lt;&gt;"",'G2 FIL Reading Scoresheet'!$I14/30,"")</f>
        <v/>
      </c>
      <c r="M12" s="243" t="str">
        <f>IF(AND($C12&lt;&gt;"",$K12&lt;&gt;"Full Refresher"),'G2 FIL Reading Scoresheet'!$Q14,"")</f>
        <v/>
      </c>
      <c r="N12" s="243" t="str">
        <f>IF(AND($C12&lt;&gt;"",K12&lt;&gt;"Full Refresher"),'G2 FIL Reading Scoresheet'!$R14/6,"")</f>
        <v/>
      </c>
      <c r="O12" s="57" t="str">
        <f>IF(AND(C12&lt;&gt;"",K12&lt;&gt;"Full Refresher"),'G2 FIL Reading Scoresheet'!$P14,"")</f>
        <v/>
      </c>
      <c r="P12" s="246" t="str">
        <f>'G2 FIL Reading Scoresheet'!$U14</f>
        <v/>
      </c>
      <c r="Q12" s="48" t="str">
        <f>CONCATENATE(IF(ISBLANK('G2 MT Reading Scoresheet'!V14),"",CONCATENATE("MT:",TRIM('G2 MT Reading Scoresheet'!V14)))," ",IF(ISBLANK('G2 FIL Reading Scoresheet'!V14),"",CONCATENATE("FIL:",TRIM('G2 FIL Reading Scoresheet'!V14))))</f>
        <v xml:space="preserve"> </v>
      </c>
    </row>
    <row r="13" spans="1:18" x14ac:dyDescent="0.3">
      <c r="A13" s="43">
        <v>5</v>
      </c>
      <c r="B13" s="49" t="str">
        <f>IF('G2 MT Reading Scoresheet'!B15&lt;&gt;"",'G2 MT Reading Scoresheet'!B15,"")</f>
        <v/>
      </c>
      <c r="C13" s="50" t="str">
        <f>IF('G2 MT Reading Scoresheet'!C15&lt;&gt;"",'G2 MT Reading Scoresheet'!C15,"")</f>
        <v/>
      </c>
      <c r="D13" s="51" t="str">
        <f>IF('G2 MT Reading Scoresheet'!D15&lt;&gt;"",'G2 MT Reading Scoresheet'!D15,"")</f>
        <v/>
      </c>
      <c r="E13" s="210" t="str">
        <f>'G2 MT Reading Scoresheet'!$J15</f>
        <v/>
      </c>
      <c r="F13" s="241" t="str">
        <f>IF(C13&lt;&gt;"",'G2 MT Reading Scoresheet'!$I15/30,"")</f>
        <v/>
      </c>
      <c r="G13" s="241" t="str">
        <f>IF(AND($C13&lt;&gt;"",$E13&lt;&gt;"Full Refresher"),'G2 MT Reading Scoresheet'!$Q15,"")</f>
        <v/>
      </c>
      <c r="H13" s="241" t="str">
        <f>IF(AND(C13&lt;&gt;"",E13&lt;&gt;"Full Refresher"),'G2 MT Reading Scoresheet'!$R15/6,"")</f>
        <v/>
      </c>
      <c r="I13" s="210" t="str">
        <f>IF(AND(D13&lt;&gt;"",F13&lt;&gt;"Full Refresher"),'G2 MT Reading Scoresheet'!$P15,"")</f>
        <v/>
      </c>
      <c r="J13" s="245" t="str">
        <f>'G2 MT Reading Scoresheet'!$U15</f>
        <v/>
      </c>
      <c r="K13" s="57" t="str">
        <f>'G2 FIL Reading Scoresheet'!$J15</f>
        <v/>
      </c>
      <c r="L13" s="243" t="str">
        <f>IF($C13&lt;&gt;"",'G2 FIL Reading Scoresheet'!$I15/30,"")</f>
        <v/>
      </c>
      <c r="M13" s="243" t="str">
        <f>IF(AND($C13&lt;&gt;"",$K13&lt;&gt;"Full Refresher"),'G2 FIL Reading Scoresheet'!$Q15,"")</f>
        <v/>
      </c>
      <c r="N13" s="243" t="str">
        <f>IF(AND($C13&lt;&gt;"",K13&lt;&gt;"Full Refresher"),'G2 FIL Reading Scoresheet'!$R15/6,"")</f>
        <v/>
      </c>
      <c r="O13" s="57" t="str">
        <f>IF(AND(C13&lt;&gt;"",K13&lt;&gt;"Full Refresher"),'G2 FIL Reading Scoresheet'!$P15,"")</f>
        <v/>
      </c>
      <c r="P13" s="246" t="str">
        <f>'G2 FIL Reading Scoresheet'!$U15</f>
        <v/>
      </c>
      <c r="Q13" s="52" t="str">
        <f>CONCATENATE(IF(ISBLANK('G2 MT Reading Scoresheet'!V15),"",CONCATENATE("MT:",TRIM('G2 MT Reading Scoresheet'!V15)))," ",IF(ISBLANK('G2 FIL Reading Scoresheet'!V15),"",CONCATENATE("FIL:",TRIM('G2 FIL Reading Scoresheet'!V15))))</f>
        <v xml:space="preserve"> </v>
      </c>
    </row>
    <row r="14" spans="1:18" x14ac:dyDescent="0.3">
      <c r="A14" s="44">
        <v>6</v>
      </c>
      <c r="B14" s="45" t="str">
        <f>IF('G2 MT Reading Scoresheet'!B16&lt;&gt;"",'G2 MT Reading Scoresheet'!B16,"")</f>
        <v/>
      </c>
      <c r="C14" s="46" t="str">
        <f>IF('G2 MT Reading Scoresheet'!C16&lt;&gt;"",'G2 MT Reading Scoresheet'!C16,"")</f>
        <v/>
      </c>
      <c r="D14" s="47" t="str">
        <f>IF('G2 MT Reading Scoresheet'!D16&lt;&gt;"",'G2 MT Reading Scoresheet'!D16,"")</f>
        <v/>
      </c>
      <c r="E14" s="210" t="str">
        <f>'G2 MT Reading Scoresheet'!$J16</f>
        <v/>
      </c>
      <c r="F14" s="241" t="str">
        <f>IF(C14&lt;&gt;"",'G2 MT Reading Scoresheet'!$I16/30,"")</f>
        <v/>
      </c>
      <c r="G14" s="241" t="str">
        <f>IF(AND($C14&lt;&gt;"",$E14&lt;&gt;"Full Refresher"),'G2 MT Reading Scoresheet'!$Q16,"")</f>
        <v/>
      </c>
      <c r="H14" s="241" t="str">
        <f>IF(AND(C14&lt;&gt;"",E14&lt;&gt;"Full Refresher"),'G2 MT Reading Scoresheet'!$R16/6,"")</f>
        <v/>
      </c>
      <c r="I14" s="210" t="str">
        <f>IF(AND(D14&lt;&gt;"",F14&lt;&gt;"Full Refresher"),'G2 MT Reading Scoresheet'!$P16,"")</f>
        <v/>
      </c>
      <c r="J14" s="245" t="str">
        <f>'G2 MT Reading Scoresheet'!$U16</f>
        <v/>
      </c>
      <c r="K14" s="57" t="str">
        <f>'G2 FIL Reading Scoresheet'!$J16</f>
        <v/>
      </c>
      <c r="L14" s="243" t="str">
        <f>IF($C14&lt;&gt;"",'G2 FIL Reading Scoresheet'!$I16/30,"")</f>
        <v/>
      </c>
      <c r="M14" s="243" t="str">
        <f>IF(AND($C14&lt;&gt;"",$K14&lt;&gt;"Full Refresher"),'G2 FIL Reading Scoresheet'!$Q16,"")</f>
        <v/>
      </c>
      <c r="N14" s="243" t="str">
        <f>IF(AND($C14&lt;&gt;"",K14&lt;&gt;"Full Refresher"),'G2 FIL Reading Scoresheet'!$R16/6,"")</f>
        <v/>
      </c>
      <c r="O14" s="57" t="str">
        <f>IF(AND(C14&lt;&gt;"",K14&lt;&gt;"Full Refresher"),'G2 FIL Reading Scoresheet'!$P16,"")</f>
        <v/>
      </c>
      <c r="P14" s="246" t="str">
        <f>'G2 FIL Reading Scoresheet'!$U16</f>
        <v/>
      </c>
      <c r="Q14" s="48" t="str">
        <f>CONCATENATE(IF(ISBLANK('G2 MT Reading Scoresheet'!V16),"",CONCATENATE("MT:",TRIM('G2 MT Reading Scoresheet'!V16)))," ",IF(ISBLANK('G2 FIL Reading Scoresheet'!V16),"",CONCATENATE("FIL:",TRIM('G2 FIL Reading Scoresheet'!V16))))</f>
        <v xml:space="preserve"> </v>
      </c>
    </row>
    <row r="15" spans="1:18" x14ac:dyDescent="0.3">
      <c r="A15" s="43">
        <v>7</v>
      </c>
      <c r="B15" s="49" t="str">
        <f>IF('G2 MT Reading Scoresheet'!B17&lt;&gt;"",'G2 MT Reading Scoresheet'!B17,"")</f>
        <v/>
      </c>
      <c r="C15" s="50" t="str">
        <f>IF('G2 MT Reading Scoresheet'!C17&lt;&gt;"",'G2 MT Reading Scoresheet'!C17,"")</f>
        <v/>
      </c>
      <c r="D15" s="51" t="str">
        <f>IF('G2 MT Reading Scoresheet'!D17&lt;&gt;"",'G2 MT Reading Scoresheet'!D17,"")</f>
        <v/>
      </c>
      <c r="E15" s="210" t="str">
        <f>'G2 MT Reading Scoresheet'!$J17</f>
        <v/>
      </c>
      <c r="F15" s="241" t="str">
        <f>IF(C15&lt;&gt;"",'G2 MT Reading Scoresheet'!$I17/30,"")</f>
        <v/>
      </c>
      <c r="G15" s="241" t="str">
        <f>IF(AND($C15&lt;&gt;"",$E15&lt;&gt;"Full Refresher"),'G2 MT Reading Scoresheet'!$Q17,"")</f>
        <v/>
      </c>
      <c r="H15" s="241" t="str">
        <f>IF(AND(C15&lt;&gt;"",E15&lt;&gt;"Full Refresher"),'G2 MT Reading Scoresheet'!$R17/6,"")</f>
        <v/>
      </c>
      <c r="I15" s="210" t="str">
        <f>IF(AND(D15&lt;&gt;"",F15&lt;&gt;"Full Refresher"),'G2 MT Reading Scoresheet'!$P17,"")</f>
        <v/>
      </c>
      <c r="J15" s="245" t="str">
        <f>'G2 MT Reading Scoresheet'!$U17</f>
        <v/>
      </c>
      <c r="K15" s="57" t="str">
        <f>'G2 FIL Reading Scoresheet'!$J17</f>
        <v/>
      </c>
      <c r="L15" s="243" t="str">
        <f>IF($C15&lt;&gt;"",'G2 FIL Reading Scoresheet'!$I17/30,"")</f>
        <v/>
      </c>
      <c r="M15" s="243" t="str">
        <f>IF(AND($C15&lt;&gt;"",$K15&lt;&gt;"Full Refresher"),'G2 FIL Reading Scoresheet'!$Q17,"")</f>
        <v/>
      </c>
      <c r="N15" s="243" t="str">
        <f>IF(AND($C15&lt;&gt;"",K15&lt;&gt;"Full Refresher"),'G2 FIL Reading Scoresheet'!$R17/6,"")</f>
        <v/>
      </c>
      <c r="O15" s="57" t="str">
        <f>IF(AND(C15&lt;&gt;"",K15&lt;&gt;"Full Refresher"),'G2 FIL Reading Scoresheet'!$P17,"")</f>
        <v/>
      </c>
      <c r="P15" s="246" t="str">
        <f>'G2 FIL Reading Scoresheet'!$U17</f>
        <v/>
      </c>
      <c r="Q15" s="52" t="str">
        <f>CONCATENATE(IF(ISBLANK('G2 MT Reading Scoresheet'!V17),"",CONCATENATE("MT:",TRIM('G2 MT Reading Scoresheet'!V17)))," ",IF(ISBLANK('G2 FIL Reading Scoresheet'!V17),"",CONCATENATE("FIL:",TRIM('G2 FIL Reading Scoresheet'!V17))))</f>
        <v xml:space="preserve"> </v>
      </c>
    </row>
    <row r="16" spans="1:18" x14ac:dyDescent="0.3">
      <c r="A16" s="44">
        <v>8</v>
      </c>
      <c r="B16" s="45" t="str">
        <f>IF('G2 MT Reading Scoresheet'!B18&lt;&gt;"",'G2 MT Reading Scoresheet'!B18,"")</f>
        <v/>
      </c>
      <c r="C16" s="46" t="str">
        <f>IF('G2 MT Reading Scoresheet'!C18&lt;&gt;"",'G2 MT Reading Scoresheet'!C18,"")</f>
        <v/>
      </c>
      <c r="D16" s="47" t="str">
        <f>IF('G2 MT Reading Scoresheet'!D18&lt;&gt;"",'G2 MT Reading Scoresheet'!D18,"")</f>
        <v/>
      </c>
      <c r="E16" s="210" t="str">
        <f>'G2 MT Reading Scoresheet'!$J18</f>
        <v/>
      </c>
      <c r="F16" s="241" t="str">
        <f>IF(C16&lt;&gt;"",'G2 MT Reading Scoresheet'!$I18/30,"")</f>
        <v/>
      </c>
      <c r="G16" s="241" t="str">
        <f>IF(AND($C16&lt;&gt;"",$E16&lt;&gt;"Full Refresher"),'G2 MT Reading Scoresheet'!$Q18,"")</f>
        <v/>
      </c>
      <c r="H16" s="241" t="str">
        <f>IF(AND(C16&lt;&gt;"",E16&lt;&gt;"Full Refresher"),'G2 MT Reading Scoresheet'!$R18/6,"")</f>
        <v/>
      </c>
      <c r="I16" s="210" t="str">
        <f>IF(AND(D16&lt;&gt;"",F16&lt;&gt;"Full Refresher"),'G2 MT Reading Scoresheet'!$P18,"")</f>
        <v/>
      </c>
      <c r="J16" s="245" t="str">
        <f>'G2 MT Reading Scoresheet'!$U18</f>
        <v/>
      </c>
      <c r="K16" s="57" t="str">
        <f>'G2 FIL Reading Scoresheet'!$J18</f>
        <v/>
      </c>
      <c r="L16" s="243" t="str">
        <f>IF($C16&lt;&gt;"",'G2 FIL Reading Scoresheet'!$I18/30,"")</f>
        <v/>
      </c>
      <c r="M16" s="243" t="str">
        <f>IF(AND($C16&lt;&gt;"",$K16&lt;&gt;"Full Refresher"),'G2 FIL Reading Scoresheet'!$Q18,"")</f>
        <v/>
      </c>
      <c r="N16" s="243" t="str">
        <f>IF(AND($C16&lt;&gt;"",K16&lt;&gt;"Full Refresher"),'G2 FIL Reading Scoresheet'!$R18/6,"")</f>
        <v/>
      </c>
      <c r="O16" s="57" t="str">
        <f>IF(AND(C16&lt;&gt;"",K16&lt;&gt;"Full Refresher"),'G2 FIL Reading Scoresheet'!$P18,"")</f>
        <v/>
      </c>
      <c r="P16" s="246" t="str">
        <f>'G2 FIL Reading Scoresheet'!$U18</f>
        <v/>
      </c>
      <c r="Q16" s="48" t="str">
        <f>CONCATENATE(IF(ISBLANK('G2 MT Reading Scoresheet'!V18),"",CONCATENATE("MT:",TRIM('G2 MT Reading Scoresheet'!V18)))," ",IF(ISBLANK('G2 FIL Reading Scoresheet'!V18),"",CONCATENATE("FIL:",TRIM('G2 FIL Reading Scoresheet'!V18))))</f>
        <v xml:space="preserve"> </v>
      </c>
    </row>
    <row r="17" spans="1:17" x14ac:dyDescent="0.3">
      <c r="A17" s="43">
        <v>9</v>
      </c>
      <c r="B17" s="49" t="str">
        <f>IF('G2 MT Reading Scoresheet'!B19&lt;&gt;"",'G2 MT Reading Scoresheet'!B19,"")</f>
        <v/>
      </c>
      <c r="C17" s="50" t="str">
        <f>IF('G2 MT Reading Scoresheet'!C19&lt;&gt;"",'G2 MT Reading Scoresheet'!C19,"")</f>
        <v/>
      </c>
      <c r="D17" s="51" t="str">
        <f>IF('G2 MT Reading Scoresheet'!D19&lt;&gt;"",'G2 MT Reading Scoresheet'!D19,"")</f>
        <v/>
      </c>
      <c r="E17" s="210" t="str">
        <f>'G2 MT Reading Scoresheet'!$J19</f>
        <v/>
      </c>
      <c r="F17" s="241" t="str">
        <f>IF(C17&lt;&gt;"",'G2 MT Reading Scoresheet'!$I19/30,"")</f>
        <v/>
      </c>
      <c r="G17" s="241" t="str">
        <f>IF(AND($C17&lt;&gt;"",$E17&lt;&gt;"Full Refresher"),'G2 MT Reading Scoresheet'!$Q19,"")</f>
        <v/>
      </c>
      <c r="H17" s="241" t="str">
        <f>IF(AND(C17&lt;&gt;"",E17&lt;&gt;"Full Refresher"),'G2 MT Reading Scoresheet'!$R19/6,"")</f>
        <v/>
      </c>
      <c r="I17" s="210" t="str">
        <f>IF(AND(D17&lt;&gt;"",F17&lt;&gt;"Full Refresher"),'G2 MT Reading Scoresheet'!$P19,"")</f>
        <v/>
      </c>
      <c r="J17" s="245" t="str">
        <f>'G2 MT Reading Scoresheet'!$U19</f>
        <v/>
      </c>
      <c r="K17" s="57" t="str">
        <f>'G2 FIL Reading Scoresheet'!$J19</f>
        <v/>
      </c>
      <c r="L17" s="243" t="str">
        <f>IF($C17&lt;&gt;"",'G2 FIL Reading Scoresheet'!$I19/30,"")</f>
        <v/>
      </c>
      <c r="M17" s="243" t="str">
        <f>IF(AND($C17&lt;&gt;"",$K17&lt;&gt;"Full Refresher"),'G2 FIL Reading Scoresheet'!$Q19,"")</f>
        <v/>
      </c>
      <c r="N17" s="243" t="str">
        <f>IF(AND($C17&lt;&gt;"",K17&lt;&gt;"Full Refresher"),'G2 FIL Reading Scoresheet'!$R19/6,"")</f>
        <v/>
      </c>
      <c r="O17" s="57" t="str">
        <f>IF(AND(C17&lt;&gt;"",K17&lt;&gt;"Full Refresher"),'G2 FIL Reading Scoresheet'!$P19,"")</f>
        <v/>
      </c>
      <c r="P17" s="246" t="str">
        <f>'G2 FIL Reading Scoresheet'!$U19</f>
        <v/>
      </c>
      <c r="Q17" s="52" t="str">
        <f>CONCATENATE(IF(ISBLANK('G2 MT Reading Scoresheet'!V19),"",CONCATENATE("MT:",TRIM('G2 MT Reading Scoresheet'!V19)))," ",IF(ISBLANK('G2 FIL Reading Scoresheet'!V19),"",CONCATENATE("FIL:",TRIM('G2 FIL Reading Scoresheet'!V19))))</f>
        <v xml:space="preserve"> </v>
      </c>
    </row>
    <row r="18" spans="1:17" x14ac:dyDescent="0.3">
      <c r="A18" s="44">
        <v>10</v>
      </c>
      <c r="B18" s="45" t="str">
        <f>IF('G2 MT Reading Scoresheet'!B20&lt;&gt;"",'G2 MT Reading Scoresheet'!B20,"")</f>
        <v/>
      </c>
      <c r="C18" s="46" t="str">
        <f>IF('G2 MT Reading Scoresheet'!C20&lt;&gt;"",'G2 MT Reading Scoresheet'!C20,"")</f>
        <v/>
      </c>
      <c r="D18" s="47" t="str">
        <f>IF('G2 MT Reading Scoresheet'!D20&lt;&gt;"",'G2 MT Reading Scoresheet'!D20,"")</f>
        <v/>
      </c>
      <c r="E18" s="210" t="str">
        <f>'G2 MT Reading Scoresheet'!$J20</f>
        <v/>
      </c>
      <c r="F18" s="241" t="str">
        <f>IF(C18&lt;&gt;"",'G2 MT Reading Scoresheet'!$I20/30,"")</f>
        <v/>
      </c>
      <c r="G18" s="241" t="str">
        <f>IF(AND($C18&lt;&gt;"",$E18&lt;&gt;"Full Refresher"),'G2 MT Reading Scoresheet'!$Q20,"")</f>
        <v/>
      </c>
      <c r="H18" s="241" t="str">
        <f>IF(AND(C18&lt;&gt;"",E18&lt;&gt;"Full Refresher"),'G2 MT Reading Scoresheet'!$R20/6,"")</f>
        <v/>
      </c>
      <c r="I18" s="210" t="str">
        <f>IF(AND(D18&lt;&gt;"",F18&lt;&gt;"Full Refresher"),'G2 MT Reading Scoresheet'!$P20,"")</f>
        <v/>
      </c>
      <c r="J18" s="245" t="str">
        <f>'G2 MT Reading Scoresheet'!$U20</f>
        <v/>
      </c>
      <c r="K18" s="57" t="str">
        <f>'G2 FIL Reading Scoresheet'!$J20</f>
        <v/>
      </c>
      <c r="L18" s="243" t="str">
        <f>IF($C18&lt;&gt;"",'G2 FIL Reading Scoresheet'!$I20/30,"")</f>
        <v/>
      </c>
      <c r="M18" s="243" t="str">
        <f>IF(AND($C18&lt;&gt;"",$K18&lt;&gt;"Full Refresher"),'G2 FIL Reading Scoresheet'!$Q20,"")</f>
        <v/>
      </c>
      <c r="N18" s="243" t="str">
        <f>IF(AND($C18&lt;&gt;"",K18&lt;&gt;"Full Refresher"),'G2 FIL Reading Scoresheet'!$R20/6,"")</f>
        <v/>
      </c>
      <c r="O18" s="57" t="str">
        <f>IF(AND(C18&lt;&gt;"",K18&lt;&gt;"Full Refresher"),'G2 FIL Reading Scoresheet'!$P20,"")</f>
        <v/>
      </c>
      <c r="P18" s="246" t="str">
        <f>'G2 FIL Reading Scoresheet'!$U20</f>
        <v/>
      </c>
      <c r="Q18" s="48" t="str">
        <f>CONCATENATE(IF(ISBLANK('G2 MT Reading Scoresheet'!V20),"",CONCATENATE("MT:",TRIM('G2 MT Reading Scoresheet'!V20)))," ",IF(ISBLANK('G2 FIL Reading Scoresheet'!V20),"",CONCATENATE("FIL:",TRIM('G2 FIL Reading Scoresheet'!V20))))</f>
        <v xml:space="preserve"> </v>
      </c>
    </row>
    <row r="19" spans="1:17" x14ac:dyDescent="0.3">
      <c r="A19" s="43">
        <v>11</v>
      </c>
      <c r="B19" s="49" t="str">
        <f>IF('G2 MT Reading Scoresheet'!B21&lt;&gt;"",'G2 MT Reading Scoresheet'!B21,"")</f>
        <v/>
      </c>
      <c r="C19" s="50" t="str">
        <f>IF('G2 MT Reading Scoresheet'!C21&lt;&gt;"",'G2 MT Reading Scoresheet'!C21,"")</f>
        <v/>
      </c>
      <c r="D19" s="51" t="str">
        <f>IF('G2 MT Reading Scoresheet'!D21&lt;&gt;"",'G2 MT Reading Scoresheet'!D21,"")</f>
        <v/>
      </c>
      <c r="E19" s="210" t="str">
        <f>'G2 MT Reading Scoresheet'!$J21</f>
        <v/>
      </c>
      <c r="F19" s="241" t="str">
        <f>IF(C19&lt;&gt;"",'G2 MT Reading Scoresheet'!$I21/30,"")</f>
        <v/>
      </c>
      <c r="G19" s="241" t="str">
        <f>IF(AND($C19&lt;&gt;"",$E19&lt;&gt;"Full Refresher"),'G2 MT Reading Scoresheet'!$Q21,"")</f>
        <v/>
      </c>
      <c r="H19" s="241" t="str">
        <f>IF(AND(C19&lt;&gt;"",E19&lt;&gt;"Full Refresher"),'G2 MT Reading Scoresheet'!$R21/6,"")</f>
        <v/>
      </c>
      <c r="I19" s="210" t="str">
        <f>IF(AND(D19&lt;&gt;"",F19&lt;&gt;"Full Refresher"),'G2 MT Reading Scoresheet'!$P21,"")</f>
        <v/>
      </c>
      <c r="J19" s="245" t="str">
        <f>'G2 MT Reading Scoresheet'!$U21</f>
        <v/>
      </c>
      <c r="K19" s="57" t="str">
        <f>'G2 FIL Reading Scoresheet'!$J21</f>
        <v/>
      </c>
      <c r="L19" s="243" t="str">
        <f>IF($C19&lt;&gt;"",'G2 FIL Reading Scoresheet'!$I21/30,"")</f>
        <v/>
      </c>
      <c r="M19" s="243" t="str">
        <f>IF(AND($C19&lt;&gt;"",$K19&lt;&gt;"Full Refresher"),'G2 FIL Reading Scoresheet'!$Q21,"")</f>
        <v/>
      </c>
      <c r="N19" s="243" t="str">
        <f>IF(AND($C19&lt;&gt;"",K19&lt;&gt;"Full Refresher"),'G2 FIL Reading Scoresheet'!$R21/6,"")</f>
        <v/>
      </c>
      <c r="O19" s="57" t="str">
        <f>IF(AND(C19&lt;&gt;"",K19&lt;&gt;"Full Refresher"),'G2 FIL Reading Scoresheet'!$P21,"")</f>
        <v/>
      </c>
      <c r="P19" s="246" t="str">
        <f>'G2 FIL Reading Scoresheet'!$U21</f>
        <v/>
      </c>
      <c r="Q19" s="52" t="str">
        <f>CONCATENATE(IF(ISBLANK('G2 MT Reading Scoresheet'!V21),"",CONCATENATE("MT:",TRIM('G2 MT Reading Scoresheet'!V21)))," ",IF(ISBLANK('G2 FIL Reading Scoresheet'!V21),"",CONCATENATE("FIL:",TRIM('G2 FIL Reading Scoresheet'!V21))))</f>
        <v xml:space="preserve"> </v>
      </c>
    </row>
    <row r="20" spans="1:17" x14ac:dyDescent="0.3">
      <c r="A20" s="44">
        <v>12</v>
      </c>
      <c r="B20" s="45" t="str">
        <f>IF('G2 MT Reading Scoresheet'!B22&lt;&gt;"",'G2 MT Reading Scoresheet'!B22,"")</f>
        <v/>
      </c>
      <c r="C20" s="46" t="str">
        <f>IF('G2 MT Reading Scoresheet'!C22&lt;&gt;"",'G2 MT Reading Scoresheet'!C22,"")</f>
        <v/>
      </c>
      <c r="D20" s="47" t="str">
        <f>IF('G2 MT Reading Scoresheet'!D22&lt;&gt;"",'G2 MT Reading Scoresheet'!D22,"")</f>
        <v/>
      </c>
      <c r="E20" s="210" t="str">
        <f>'G2 MT Reading Scoresheet'!$J22</f>
        <v/>
      </c>
      <c r="F20" s="241" t="str">
        <f>IF(C20&lt;&gt;"",'G2 MT Reading Scoresheet'!$I22/30,"")</f>
        <v/>
      </c>
      <c r="G20" s="241" t="str">
        <f>IF(AND($C20&lt;&gt;"",$E20&lt;&gt;"Full Refresher"),'G2 MT Reading Scoresheet'!$Q22,"")</f>
        <v/>
      </c>
      <c r="H20" s="241" t="str">
        <f>IF(AND(C20&lt;&gt;"",E20&lt;&gt;"Full Refresher"),'G2 MT Reading Scoresheet'!$R22/6,"")</f>
        <v/>
      </c>
      <c r="I20" s="210" t="str">
        <f>IF(AND(D20&lt;&gt;"",F20&lt;&gt;"Full Refresher"),'G2 MT Reading Scoresheet'!$P22,"")</f>
        <v/>
      </c>
      <c r="J20" s="245" t="str">
        <f>'G2 MT Reading Scoresheet'!$U22</f>
        <v/>
      </c>
      <c r="K20" s="57" t="str">
        <f>'G2 FIL Reading Scoresheet'!$J22</f>
        <v/>
      </c>
      <c r="L20" s="243" t="str">
        <f>IF($C20&lt;&gt;"",'G2 FIL Reading Scoresheet'!$I22/30,"")</f>
        <v/>
      </c>
      <c r="M20" s="243" t="str">
        <f>IF(AND($C20&lt;&gt;"",$K20&lt;&gt;"Full Refresher"),'G2 FIL Reading Scoresheet'!$Q22,"")</f>
        <v/>
      </c>
      <c r="N20" s="243" t="str">
        <f>IF(AND($C20&lt;&gt;"",K20&lt;&gt;"Full Refresher"),'G2 FIL Reading Scoresheet'!$R22/6,"")</f>
        <v/>
      </c>
      <c r="O20" s="57" t="str">
        <f>IF(AND(C20&lt;&gt;"",K20&lt;&gt;"Full Refresher"),'G2 FIL Reading Scoresheet'!$P22,"")</f>
        <v/>
      </c>
      <c r="P20" s="246" t="str">
        <f>'G2 FIL Reading Scoresheet'!$U22</f>
        <v/>
      </c>
      <c r="Q20" s="48" t="str">
        <f>CONCATENATE(IF(ISBLANK('G2 MT Reading Scoresheet'!V22),"",CONCATENATE("MT:",TRIM('G2 MT Reading Scoresheet'!V22)))," ",IF(ISBLANK('G2 FIL Reading Scoresheet'!V22),"",CONCATENATE("FIL:",TRIM('G2 FIL Reading Scoresheet'!V22))))</f>
        <v xml:space="preserve"> </v>
      </c>
    </row>
    <row r="21" spans="1:17" x14ac:dyDescent="0.3">
      <c r="A21" s="43">
        <v>13</v>
      </c>
      <c r="B21" s="49" t="str">
        <f>IF('G2 MT Reading Scoresheet'!B23&lt;&gt;"",'G2 MT Reading Scoresheet'!B23,"")</f>
        <v/>
      </c>
      <c r="C21" s="50" t="str">
        <f>IF('G2 MT Reading Scoresheet'!C23&lt;&gt;"",'G2 MT Reading Scoresheet'!C23,"")</f>
        <v/>
      </c>
      <c r="D21" s="51" t="str">
        <f>IF('G2 MT Reading Scoresheet'!D23&lt;&gt;"",'G2 MT Reading Scoresheet'!D23,"")</f>
        <v/>
      </c>
      <c r="E21" s="210" t="str">
        <f>'G2 MT Reading Scoresheet'!$J23</f>
        <v/>
      </c>
      <c r="F21" s="241" t="str">
        <f>IF(C21&lt;&gt;"",'G2 MT Reading Scoresheet'!$I23/30,"")</f>
        <v/>
      </c>
      <c r="G21" s="241" t="str">
        <f>IF(AND($C21&lt;&gt;"",$E21&lt;&gt;"Full Refresher"),'G2 MT Reading Scoresheet'!$Q23,"")</f>
        <v/>
      </c>
      <c r="H21" s="241" t="str">
        <f>IF(AND(C21&lt;&gt;"",E21&lt;&gt;"Full Refresher"),'G2 MT Reading Scoresheet'!$R23/6,"")</f>
        <v/>
      </c>
      <c r="I21" s="210" t="str">
        <f>IF(AND(D21&lt;&gt;"",F21&lt;&gt;"Full Refresher"),'G2 MT Reading Scoresheet'!$P23,"")</f>
        <v/>
      </c>
      <c r="J21" s="245" t="str">
        <f>'G2 MT Reading Scoresheet'!$U23</f>
        <v/>
      </c>
      <c r="K21" s="57" t="str">
        <f>'G2 FIL Reading Scoresheet'!$J23</f>
        <v/>
      </c>
      <c r="L21" s="243" t="str">
        <f>IF($C21&lt;&gt;"",'G2 FIL Reading Scoresheet'!$I23/30,"")</f>
        <v/>
      </c>
      <c r="M21" s="243" t="str">
        <f>IF(AND($C21&lt;&gt;"",$K21&lt;&gt;"Full Refresher"),'G2 FIL Reading Scoresheet'!$Q23,"")</f>
        <v/>
      </c>
      <c r="N21" s="243" t="str">
        <f>IF(AND($C21&lt;&gt;"",K21&lt;&gt;"Full Refresher"),'G2 FIL Reading Scoresheet'!$R23/6,"")</f>
        <v/>
      </c>
      <c r="O21" s="57" t="str">
        <f>IF(AND(C21&lt;&gt;"",K21&lt;&gt;"Full Refresher"),'G2 FIL Reading Scoresheet'!$P23,"")</f>
        <v/>
      </c>
      <c r="P21" s="246" t="str">
        <f>'G2 FIL Reading Scoresheet'!$U23</f>
        <v/>
      </c>
      <c r="Q21" s="52" t="str">
        <f>CONCATENATE(IF(ISBLANK('G2 MT Reading Scoresheet'!V23),"",CONCATENATE("MT:",TRIM('G2 MT Reading Scoresheet'!V23)))," ",IF(ISBLANK('G2 FIL Reading Scoresheet'!V23),"",CONCATENATE("FIL:",TRIM('G2 FIL Reading Scoresheet'!V23))))</f>
        <v xml:space="preserve"> </v>
      </c>
    </row>
    <row r="22" spans="1:17" x14ac:dyDescent="0.3">
      <c r="A22" s="44">
        <v>14</v>
      </c>
      <c r="B22" s="45" t="str">
        <f>IF('G2 MT Reading Scoresheet'!B24&lt;&gt;"",'G2 MT Reading Scoresheet'!B24,"")</f>
        <v/>
      </c>
      <c r="C22" s="46" t="str">
        <f>IF('G2 MT Reading Scoresheet'!C24&lt;&gt;"",'G2 MT Reading Scoresheet'!C24,"")</f>
        <v/>
      </c>
      <c r="D22" s="47" t="str">
        <f>IF('G2 MT Reading Scoresheet'!D24&lt;&gt;"",'G2 MT Reading Scoresheet'!D24,"")</f>
        <v/>
      </c>
      <c r="E22" s="210" t="str">
        <f>'G2 MT Reading Scoresheet'!$J24</f>
        <v/>
      </c>
      <c r="F22" s="241" t="str">
        <f>IF(C22&lt;&gt;"",'G2 MT Reading Scoresheet'!$I24/30,"")</f>
        <v/>
      </c>
      <c r="G22" s="241" t="str">
        <f>IF(AND($C22&lt;&gt;"",$E22&lt;&gt;"Full Refresher"),'G2 MT Reading Scoresheet'!$Q24,"")</f>
        <v/>
      </c>
      <c r="H22" s="241" t="str">
        <f>IF(AND(C22&lt;&gt;"",E22&lt;&gt;"Full Refresher"),'G2 MT Reading Scoresheet'!$R24/6,"")</f>
        <v/>
      </c>
      <c r="I22" s="210" t="str">
        <f>IF(AND(D22&lt;&gt;"",F22&lt;&gt;"Full Refresher"),'G2 MT Reading Scoresheet'!$P24,"")</f>
        <v/>
      </c>
      <c r="J22" s="245" t="str">
        <f>'G2 MT Reading Scoresheet'!$U24</f>
        <v/>
      </c>
      <c r="K22" s="57" t="str">
        <f>'G2 FIL Reading Scoresheet'!$J24</f>
        <v/>
      </c>
      <c r="L22" s="243" t="str">
        <f>IF($C22&lt;&gt;"",'G2 FIL Reading Scoresheet'!$I24/30,"")</f>
        <v/>
      </c>
      <c r="M22" s="243" t="str">
        <f>IF(AND($C22&lt;&gt;"",$K22&lt;&gt;"Full Refresher"),'G2 FIL Reading Scoresheet'!$Q24,"")</f>
        <v/>
      </c>
      <c r="N22" s="243" t="str">
        <f>IF(AND($C22&lt;&gt;"",K22&lt;&gt;"Full Refresher"),'G2 FIL Reading Scoresheet'!$R24/6,"")</f>
        <v/>
      </c>
      <c r="O22" s="57" t="str">
        <f>IF(AND(C22&lt;&gt;"",K22&lt;&gt;"Full Refresher"),'G2 FIL Reading Scoresheet'!$P24,"")</f>
        <v/>
      </c>
      <c r="P22" s="246" t="str">
        <f>'G2 FIL Reading Scoresheet'!$U24</f>
        <v/>
      </c>
      <c r="Q22" s="48" t="str">
        <f>CONCATENATE(IF(ISBLANK('G2 MT Reading Scoresheet'!V24),"",CONCATENATE("MT:",TRIM('G2 MT Reading Scoresheet'!V24)))," ",IF(ISBLANK('G2 FIL Reading Scoresheet'!V24),"",CONCATENATE("FIL:",TRIM('G2 FIL Reading Scoresheet'!V24))))</f>
        <v xml:space="preserve"> </v>
      </c>
    </row>
    <row r="23" spans="1:17" x14ac:dyDescent="0.3">
      <c r="A23" s="43">
        <v>15</v>
      </c>
      <c r="B23" s="49" t="str">
        <f>IF('G2 MT Reading Scoresheet'!B25&lt;&gt;"",'G2 MT Reading Scoresheet'!B25,"")</f>
        <v/>
      </c>
      <c r="C23" s="50" t="str">
        <f>IF('G2 MT Reading Scoresheet'!C25&lt;&gt;"",'G2 MT Reading Scoresheet'!C25,"")</f>
        <v/>
      </c>
      <c r="D23" s="51" t="str">
        <f>IF('G2 MT Reading Scoresheet'!D25&lt;&gt;"",'G2 MT Reading Scoresheet'!D25,"")</f>
        <v/>
      </c>
      <c r="E23" s="210" t="str">
        <f>'G2 MT Reading Scoresheet'!$J25</f>
        <v/>
      </c>
      <c r="F23" s="241" t="str">
        <f>IF(C23&lt;&gt;"",'G2 MT Reading Scoresheet'!$I25/30,"")</f>
        <v/>
      </c>
      <c r="G23" s="241" t="str">
        <f>IF(AND($C23&lt;&gt;"",$E23&lt;&gt;"Full Refresher"),'G2 MT Reading Scoresheet'!$Q25,"")</f>
        <v/>
      </c>
      <c r="H23" s="241" t="str">
        <f>IF(AND(C23&lt;&gt;"",E23&lt;&gt;"Full Refresher"),'G2 MT Reading Scoresheet'!$R25/6,"")</f>
        <v/>
      </c>
      <c r="I23" s="210" t="str">
        <f>IF(AND(D23&lt;&gt;"",F23&lt;&gt;"Full Refresher"),'G2 MT Reading Scoresheet'!$P25,"")</f>
        <v/>
      </c>
      <c r="J23" s="245" t="str">
        <f>'G2 MT Reading Scoresheet'!$U25</f>
        <v/>
      </c>
      <c r="K23" s="57" t="str">
        <f>'G2 FIL Reading Scoresheet'!$J25</f>
        <v/>
      </c>
      <c r="L23" s="243" t="str">
        <f>IF($C23&lt;&gt;"",'G2 FIL Reading Scoresheet'!$I25/30,"")</f>
        <v/>
      </c>
      <c r="M23" s="243" t="str">
        <f>IF(AND($C23&lt;&gt;"",$K23&lt;&gt;"Full Refresher"),'G2 FIL Reading Scoresheet'!$Q25,"")</f>
        <v/>
      </c>
      <c r="N23" s="243" t="str">
        <f>IF(AND($C23&lt;&gt;"",K23&lt;&gt;"Full Refresher"),'G2 FIL Reading Scoresheet'!$R25/6,"")</f>
        <v/>
      </c>
      <c r="O23" s="57" t="str">
        <f>IF(AND(C23&lt;&gt;"",K23&lt;&gt;"Full Refresher"),'G2 FIL Reading Scoresheet'!$P25,"")</f>
        <v/>
      </c>
      <c r="P23" s="246" t="str">
        <f>'G2 FIL Reading Scoresheet'!$U25</f>
        <v/>
      </c>
      <c r="Q23" s="52" t="str">
        <f>CONCATENATE(IF(ISBLANK('G2 MT Reading Scoresheet'!V25),"",CONCATENATE("MT:",TRIM('G2 MT Reading Scoresheet'!V25)))," ",IF(ISBLANK('G2 FIL Reading Scoresheet'!V25),"",CONCATENATE("FIL:",TRIM('G2 FIL Reading Scoresheet'!V25))))</f>
        <v xml:space="preserve"> </v>
      </c>
    </row>
    <row r="24" spans="1:17" x14ac:dyDescent="0.3">
      <c r="A24" s="44">
        <v>16</v>
      </c>
      <c r="B24" s="45" t="str">
        <f>IF('G2 MT Reading Scoresheet'!B26&lt;&gt;"",'G2 MT Reading Scoresheet'!B26,"")</f>
        <v/>
      </c>
      <c r="C24" s="46" t="str">
        <f>IF('G2 MT Reading Scoresheet'!C26&lt;&gt;"",'G2 MT Reading Scoresheet'!C26,"")</f>
        <v/>
      </c>
      <c r="D24" s="47" t="str">
        <f>IF('G2 MT Reading Scoresheet'!D26&lt;&gt;"",'G2 MT Reading Scoresheet'!D26,"")</f>
        <v/>
      </c>
      <c r="E24" s="210" t="str">
        <f>'G2 MT Reading Scoresheet'!$J26</f>
        <v/>
      </c>
      <c r="F24" s="241" t="str">
        <f>IF(C24&lt;&gt;"",'G2 MT Reading Scoresheet'!$I26/30,"")</f>
        <v/>
      </c>
      <c r="G24" s="241" t="str">
        <f>IF(AND($C24&lt;&gt;"",$E24&lt;&gt;"Full Refresher"),'G2 MT Reading Scoresheet'!$Q26,"")</f>
        <v/>
      </c>
      <c r="H24" s="241" t="str">
        <f>IF(AND(C24&lt;&gt;"",E24&lt;&gt;"Full Refresher"),'G2 MT Reading Scoresheet'!$R26/6,"")</f>
        <v/>
      </c>
      <c r="I24" s="210" t="str">
        <f>IF(AND(D24&lt;&gt;"",F24&lt;&gt;"Full Refresher"),'G2 MT Reading Scoresheet'!$P26,"")</f>
        <v/>
      </c>
      <c r="J24" s="245" t="str">
        <f>'G2 MT Reading Scoresheet'!$U26</f>
        <v/>
      </c>
      <c r="K24" s="57" t="str">
        <f>'G2 FIL Reading Scoresheet'!$J26</f>
        <v/>
      </c>
      <c r="L24" s="243" t="str">
        <f>IF($C24&lt;&gt;"",'G2 FIL Reading Scoresheet'!$I26/30,"")</f>
        <v/>
      </c>
      <c r="M24" s="243" t="str">
        <f>IF(AND($C24&lt;&gt;"",$K24&lt;&gt;"Full Refresher"),'G2 FIL Reading Scoresheet'!$Q26,"")</f>
        <v/>
      </c>
      <c r="N24" s="243" t="str">
        <f>IF(AND($C24&lt;&gt;"",K24&lt;&gt;"Full Refresher"),'G2 FIL Reading Scoresheet'!$R26/6,"")</f>
        <v/>
      </c>
      <c r="O24" s="57" t="str">
        <f>IF(AND(C24&lt;&gt;"",K24&lt;&gt;"Full Refresher"),'G2 FIL Reading Scoresheet'!$P26,"")</f>
        <v/>
      </c>
      <c r="P24" s="246" t="str">
        <f>'G2 FIL Reading Scoresheet'!$U26</f>
        <v/>
      </c>
      <c r="Q24" s="48" t="str">
        <f>CONCATENATE(IF(ISBLANK('G2 MT Reading Scoresheet'!V26),"",CONCATENATE("MT:",TRIM('G2 MT Reading Scoresheet'!V26)))," ",IF(ISBLANK('G2 FIL Reading Scoresheet'!V26),"",CONCATENATE("FIL:",TRIM('G2 FIL Reading Scoresheet'!V26))))</f>
        <v xml:space="preserve"> </v>
      </c>
    </row>
    <row r="25" spans="1:17" x14ac:dyDescent="0.3">
      <c r="A25" s="43">
        <v>17</v>
      </c>
      <c r="B25" s="49" t="str">
        <f>IF('G2 MT Reading Scoresheet'!B27&lt;&gt;"",'G2 MT Reading Scoresheet'!B27,"")</f>
        <v/>
      </c>
      <c r="C25" s="50" t="str">
        <f>IF('G2 MT Reading Scoresheet'!C27&lt;&gt;"",'G2 MT Reading Scoresheet'!C27,"")</f>
        <v/>
      </c>
      <c r="D25" s="51" t="str">
        <f>IF('G2 MT Reading Scoresheet'!D27&lt;&gt;"",'G2 MT Reading Scoresheet'!D27,"")</f>
        <v/>
      </c>
      <c r="E25" s="210" t="str">
        <f>'G2 MT Reading Scoresheet'!$J27</f>
        <v/>
      </c>
      <c r="F25" s="241" t="str">
        <f>IF(C25&lt;&gt;"",'G2 MT Reading Scoresheet'!$I27/30,"")</f>
        <v/>
      </c>
      <c r="G25" s="241" t="str">
        <f>IF(AND($C25&lt;&gt;"",$E25&lt;&gt;"Full Refresher"),'G2 MT Reading Scoresheet'!$Q27,"")</f>
        <v/>
      </c>
      <c r="H25" s="241" t="str">
        <f>IF(AND(C25&lt;&gt;"",E25&lt;&gt;"Full Refresher"),'G2 MT Reading Scoresheet'!$R27/6,"")</f>
        <v/>
      </c>
      <c r="I25" s="210" t="str">
        <f>IF(AND(D25&lt;&gt;"",F25&lt;&gt;"Full Refresher"),'G2 MT Reading Scoresheet'!$P27,"")</f>
        <v/>
      </c>
      <c r="J25" s="245" t="str">
        <f>'G2 MT Reading Scoresheet'!$U27</f>
        <v/>
      </c>
      <c r="K25" s="57" t="str">
        <f>'G2 FIL Reading Scoresheet'!$J27</f>
        <v/>
      </c>
      <c r="L25" s="243" t="str">
        <f>IF($C25&lt;&gt;"",'G2 FIL Reading Scoresheet'!$I27/30,"")</f>
        <v/>
      </c>
      <c r="M25" s="243" t="str">
        <f>IF(AND($C25&lt;&gt;"",$K25&lt;&gt;"Full Refresher"),'G2 FIL Reading Scoresheet'!$Q27,"")</f>
        <v/>
      </c>
      <c r="N25" s="243" t="str">
        <f>IF(AND($C25&lt;&gt;"",K25&lt;&gt;"Full Refresher"),'G2 FIL Reading Scoresheet'!$R27/6,"")</f>
        <v/>
      </c>
      <c r="O25" s="57" t="str">
        <f>IF(AND(C25&lt;&gt;"",K25&lt;&gt;"Full Refresher"),'G2 FIL Reading Scoresheet'!$P27,"")</f>
        <v/>
      </c>
      <c r="P25" s="246" t="str">
        <f>'G2 FIL Reading Scoresheet'!$U27</f>
        <v/>
      </c>
      <c r="Q25" s="52" t="str">
        <f>CONCATENATE(IF(ISBLANK('G2 MT Reading Scoresheet'!V27),"",CONCATENATE("MT:",TRIM('G2 MT Reading Scoresheet'!V27)))," ",IF(ISBLANK('G2 FIL Reading Scoresheet'!V27),"",CONCATENATE("FIL:",TRIM('G2 FIL Reading Scoresheet'!V27))))</f>
        <v xml:space="preserve"> </v>
      </c>
    </row>
    <row r="26" spans="1:17" x14ac:dyDescent="0.3">
      <c r="A26" s="44">
        <v>18</v>
      </c>
      <c r="B26" s="45" t="str">
        <f>IF('G2 MT Reading Scoresheet'!B28&lt;&gt;"",'G2 MT Reading Scoresheet'!B28,"")</f>
        <v/>
      </c>
      <c r="C26" s="46" t="str">
        <f>IF('G2 MT Reading Scoresheet'!C28&lt;&gt;"",'G2 MT Reading Scoresheet'!C28,"")</f>
        <v/>
      </c>
      <c r="D26" s="47" t="str">
        <f>IF('G2 MT Reading Scoresheet'!D28&lt;&gt;"",'G2 MT Reading Scoresheet'!D28,"")</f>
        <v/>
      </c>
      <c r="E26" s="210" t="str">
        <f>'G2 MT Reading Scoresheet'!$J28</f>
        <v/>
      </c>
      <c r="F26" s="241" t="str">
        <f>IF(C26&lt;&gt;"",'G2 MT Reading Scoresheet'!$I28/30,"")</f>
        <v/>
      </c>
      <c r="G26" s="241" t="str">
        <f>IF(AND($C26&lt;&gt;"",$E26&lt;&gt;"Full Refresher"),'G2 MT Reading Scoresheet'!$Q28,"")</f>
        <v/>
      </c>
      <c r="H26" s="241" t="str">
        <f>IF(AND(C26&lt;&gt;"",E26&lt;&gt;"Full Refresher"),'G2 MT Reading Scoresheet'!$R28/6,"")</f>
        <v/>
      </c>
      <c r="I26" s="210" t="str">
        <f>IF(AND(D26&lt;&gt;"",F26&lt;&gt;"Full Refresher"),'G2 MT Reading Scoresheet'!$P28,"")</f>
        <v/>
      </c>
      <c r="J26" s="245" t="str">
        <f>'G2 MT Reading Scoresheet'!$U28</f>
        <v/>
      </c>
      <c r="K26" s="57" t="str">
        <f>'G2 FIL Reading Scoresheet'!$J28</f>
        <v/>
      </c>
      <c r="L26" s="243" t="str">
        <f>IF($C26&lt;&gt;"",'G2 FIL Reading Scoresheet'!$I28/30,"")</f>
        <v/>
      </c>
      <c r="M26" s="243" t="str">
        <f>IF(AND($C26&lt;&gt;"",$K26&lt;&gt;"Full Refresher"),'G2 FIL Reading Scoresheet'!$Q28,"")</f>
        <v/>
      </c>
      <c r="N26" s="243" t="str">
        <f>IF(AND($C26&lt;&gt;"",K26&lt;&gt;"Full Refresher"),'G2 FIL Reading Scoresheet'!$R28/6,"")</f>
        <v/>
      </c>
      <c r="O26" s="57" t="str">
        <f>IF(AND(C26&lt;&gt;"",K26&lt;&gt;"Full Refresher"),'G2 FIL Reading Scoresheet'!$P28,"")</f>
        <v/>
      </c>
      <c r="P26" s="246" t="str">
        <f>'G2 FIL Reading Scoresheet'!$U28</f>
        <v/>
      </c>
      <c r="Q26" s="48" t="str">
        <f>CONCATENATE(IF(ISBLANK('G2 MT Reading Scoresheet'!V28),"",CONCATENATE("MT:",TRIM('G2 MT Reading Scoresheet'!V28)))," ",IF(ISBLANK('G2 FIL Reading Scoresheet'!V28),"",CONCATENATE("FIL:",TRIM('G2 FIL Reading Scoresheet'!V28))))</f>
        <v xml:space="preserve"> </v>
      </c>
    </row>
    <row r="27" spans="1:17" x14ac:dyDescent="0.3">
      <c r="A27" s="43">
        <v>19</v>
      </c>
      <c r="B27" s="49" t="str">
        <f>IF('G2 MT Reading Scoresheet'!B29&lt;&gt;"",'G2 MT Reading Scoresheet'!B29,"")</f>
        <v/>
      </c>
      <c r="C27" s="50" t="str">
        <f>IF('G2 MT Reading Scoresheet'!C29&lt;&gt;"",'G2 MT Reading Scoresheet'!C29,"")</f>
        <v/>
      </c>
      <c r="D27" s="51" t="str">
        <f>IF('G2 MT Reading Scoresheet'!D29&lt;&gt;"",'G2 MT Reading Scoresheet'!D29,"")</f>
        <v/>
      </c>
      <c r="E27" s="210" t="str">
        <f>'G2 MT Reading Scoresheet'!$J29</f>
        <v/>
      </c>
      <c r="F27" s="241" t="str">
        <f>IF(C27&lt;&gt;"",'G2 MT Reading Scoresheet'!$I29/30,"")</f>
        <v/>
      </c>
      <c r="G27" s="241" t="str">
        <f>IF(AND($C27&lt;&gt;"",$E27&lt;&gt;"Full Refresher"),'G2 MT Reading Scoresheet'!$Q29,"")</f>
        <v/>
      </c>
      <c r="H27" s="241" t="str">
        <f>IF(AND(C27&lt;&gt;"",E27&lt;&gt;"Full Refresher"),'G2 MT Reading Scoresheet'!$R29/6,"")</f>
        <v/>
      </c>
      <c r="I27" s="210" t="str">
        <f>IF(AND(D27&lt;&gt;"",F27&lt;&gt;"Full Refresher"),'G2 MT Reading Scoresheet'!$P29,"")</f>
        <v/>
      </c>
      <c r="J27" s="245" t="str">
        <f>'G2 MT Reading Scoresheet'!$U29</f>
        <v/>
      </c>
      <c r="K27" s="57" t="str">
        <f>'G2 FIL Reading Scoresheet'!$J29</f>
        <v/>
      </c>
      <c r="L27" s="243" t="str">
        <f>IF($C27&lt;&gt;"",'G2 FIL Reading Scoresheet'!$I29/30,"")</f>
        <v/>
      </c>
      <c r="M27" s="243" t="str">
        <f>IF(AND($C27&lt;&gt;"",$K27&lt;&gt;"Full Refresher"),'G2 FIL Reading Scoresheet'!$Q29,"")</f>
        <v/>
      </c>
      <c r="N27" s="243" t="str">
        <f>IF(AND($C27&lt;&gt;"",K27&lt;&gt;"Full Refresher"),'G2 FIL Reading Scoresheet'!$R29/6,"")</f>
        <v/>
      </c>
      <c r="O27" s="57" t="str">
        <f>IF(AND(C27&lt;&gt;"",K27&lt;&gt;"Full Refresher"),'G2 FIL Reading Scoresheet'!$P29,"")</f>
        <v/>
      </c>
      <c r="P27" s="246" t="str">
        <f>'G2 FIL Reading Scoresheet'!$U29</f>
        <v/>
      </c>
      <c r="Q27" s="52" t="str">
        <f>CONCATENATE(IF(ISBLANK('G2 MT Reading Scoresheet'!V29),"",CONCATENATE("MT:",TRIM('G2 MT Reading Scoresheet'!V29)))," ",IF(ISBLANK('G2 FIL Reading Scoresheet'!V29),"",CONCATENATE("FIL:",TRIM('G2 FIL Reading Scoresheet'!V29))))</f>
        <v xml:space="preserve"> </v>
      </c>
    </row>
    <row r="28" spans="1:17" x14ac:dyDescent="0.3">
      <c r="A28" s="44">
        <v>20</v>
      </c>
      <c r="B28" s="45" t="str">
        <f>IF('G2 MT Reading Scoresheet'!B30&lt;&gt;"",'G2 MT Reading Scoresheet'!B30,"")</f>
        <v/>
      </c>
      <c r="C28" s="46" t="str">
        <f>IF('G2 MT Reading Scoresheet'!C30&lt;&gt;"",'G2 MT Reading Scoresheet'!C30,"")</f>
        <v/>
      </c>
      <c r="D28" s="47" t="str">
        <f>IF('G2 MT Reading Scoresheet'!D30&lt;&gt;"",'G2 MT Reading Scoresheet'!D30,"")</f>
        <v/>
      </c>
      <c r="E28" s="210" t="str">
        <f>'G2 MT Reading Scoresheet'!$J30</f>
        <v/>
      </c>
      <c r="F28" s="241" t="str">
        <f>IF(C28&lt;&gt;"",'G2 MT Reading Scoresheet'!$I30/30,"")</f>
        <v/>
      </c>
      <c r="G28" s="241" t="str">
        <f>IF(AND($C28&lt;&gt;"",$E28&lt;&gt;"Full Refresher"),'G2 MT Reading Scoresheet'!$Q30,"")</f>
        <v/>
      </c>
      <c r="H28" s="241" t="str">
        <f>IF(AND(C28&lt;&gt;"",E28&lt;&gt;"Full Refresher"),'G2 MT Reading Scoresheet'!$R30/6,"")</f>
        <v/>
      </c>
      <c r="I28" s="210" t="str">
        <f>IF(AND(D28&lt;&gt;"",F28&lt;&gt;"Full Refresher"),'G2 MT Reading Scoresheet'!$P30,"")</f>
        <v/>
      </c>
      <c r="J28" s="245" t="str">
        <f>'G2 MT Reading Scoresheet'!$U30</f>
        <v/>
      </c>
      <c r="K28" s="57" t="str">
        <f>'G2 FIL Reading Scoresheet'!$J30</f>
        <v/>
      </c>
      <c r="L28" s="243" t="str">
        <f>IF($C28&lt;&gt;"",'G2 FIL Reading Scoresheet'!$I30/30,"")</f>
        <v/>
      </c>
      <c r="M28" s="243" t="str">
        <f>IF(AND($C28&lt;&gt;"",$K28&lt;&gt;"Full Refresher"),'G2 FIL Reading Scoresheet'!$Q30,"")</f>
        <v/>
      </c>
      <c r="N28" s="243" t="str">
        <f>IF(AND($C28&lt;&gt;"",K28&lt;&gt;"Full Refresher"),'G2 FIL Reading Scoresheet'!$R30/6,"")</f>
        <v/>
      </c>
      <c r="O28" s="57" t="str">
        <f>IF(AND(C28&lt;&gt;"",K28&lt;&gt;"Full Refresher"),'G2 FIL Reading Scoresheet'!$P30,"")</f>
        <v/>
      </c>
      <c r="P28" s="246" t="str">
        <f>'G2 FIL Reading Scoresheet'!$U30</f>
        <v/>
      </c>
      <c r="Q28" s="48" t="str">
        <f>CONCATENATE(IF(ISBLANK('G2 MT Reading Scoresheet'!V30),"",CONCATENATE("MT:",TRIM('G2 MT Reading Scoresheet'!V30)))," ",IF(ISBLANK('G2 FIL Reading Scoresheet'!V30),"",CONCATENATE("FIL:",TRIM('G2 FIL Reading Scoresheet'!V30))))</f>
        <v xml:space="preserve"> </v>
      </c>
    </row>
    <row r="29" spans="1:17" x14ac:dyDescent="0.3">
      <c r="A29" s="43">
        <v>21</v>
      </c>
      <c r="B29" s="49" t="str">
        <f>IF('G2 MT Reading Scoresheet'!B31&lt;&gt;"",'G2 MT Reading Scoresheet'!B31,"")</f>
        <v/>
      </c>
      <c r="C29" s="50" t="str">
        <f>IF('G2 MT Reading Scoresheet'!C31&lt;&gt;"",'G2 MT Reading Scoresheet'!C31,"")</f>
        <v/>
      </c>
      <c r="D29" s="51" t="str">
        <f>IF('G2 MT Reading Scoresheet'!D31&lt;&gt;"",'G2 MT Reading Scoresheet'!D31,"")</f>
        <v/>
      </c>
      <c r="E29" s="210" t="str">
        <f>'G2 MT Reading Scoresheet'!$J31</f>
        <v/>
      </c>
      <c r="F29" s="241" t="str">
        <f>IF(C29&lt;&gt;"",'G2 MT Reading Scoresheet'!$I31/30,"")</f>
        <v/>
      </c>
      <c r="G29" s="241" t="str">
        <f>IF(AND($C29&lt;&gt;"",$E29&lt;&gt;"Full Refresher"),'G2 MT Reading Scoresheet'!$Q31,"")</f>
        <v/>
      </c>
      <c r="H29" s="241" t="str">
        <f>IF(AND(C29&lt;&gt;"",E29&lt;&gt;"Full Refresher"),'G2 MT Reading Scoresheet'!$R31/6,"")</f>
        <v/>
      </c>
      <c r="I29" s="210" t="str">
        <f>IF(AND(D29&lt;&gt;"",F29&lt;&gt;"Full Refresher"),'G2 MT Reading Scoresheet'!$P31,"")</f>
        <v/>
      </c>
      <c r="J29" s="245" t="str">
        <f>'G2 MT Reading Scoresheet'!$U31</f>
        <v/>
      </c>
      <c r="K29" s="57" t="str">
        <f>'G2 FIL Reading Scoresheet'!$J31</f>
        <v/>
      </c>
      <c r="L29" s="243" t="str">
        <f>IF($C29&lt;&gt;"",'G2 FIL Reading Scoresheet'!$I31/30,"")</f>
        <v/>
      </c>
      <c r="M29" s="243" t="str">
        <f>IF(AND($C29&lt;&gt;"",$K29&lt;&gt;"Full Refresher"),'G2 FIL Reading Scoresheet'!$Q31,"")</f>
        <v/>
      </c>
      <c r="N29" s="243" t="str">
        <f>IF(AND($C29&lt;&gt;"",K29&lt;&gt;"Full Refresher"),'G2 FIL Reading Scoresheet'!$R31/6,"")</f>
        <v/>
      </c>
      <c r="O29" s="57" t="str">
        <f>IF(AND(C29&lt;&gt;"",K29&lt;&gt;"Full Refresher"),'G2 FIL Reading Scoresheet'!$P31,"")</f>
        <v/>
      </c>
      <c r="P29" s="246" t="str">
        <f>'G2 FIL Reading Scoresheet'!$U31</f>
        <v/>
      </c>
      <c r="Q29" s="52" t="str">
        <f>CONCATENATE(IF(ISBLANK('G2 MT Reading Scoresheet'!V31),"",CONCATENATE("MT:",TRIM('G2 MT Reading Scoresheet'!V31)))," ",IF(ISBLANK('G2 FIL Reading Scoresheet'!V31),"",CONCATENATE("FIL:",TRIM('G2 FIL Reading Scoresheet'!V31))))</f>
        <v xml:space="preserve"> </v>
      </c>
    </row>
    <row r="30" spans="1:17" x14ac:dyDescent="0.3">
      <c r="A30" s="44">
        <v>22</v>
      </c>
      <c r="B30" s="45" t="str">
        <f>IF('G2 MT Reading Scoresheet'!B32&lt;&gt;"",'G2 MT Reading Scoresheet'!B32,"")</f>
        <v/>
      </c>
      <c r="C30" s="46" t="str">
        <f>IF('G2 MT Reading Scoresheet'!C32&lt;&gt;"",'G2 MT Reading Scoresheet'!C32,"")</f>
        <v/>
      </c>
      <c r="D30" s="47" t="str">
        <f>IF('G2 MT Reading Scoresheet'!D32&lt;&gt;"",'G2 MT Reading Scoresheet'!D32,"")</f>
        <v/>
      </c>
      <c r="E30" s="210" t="str">
        <f>'G2 MT Reading Scoresheet'!$J32</f>
        <v/>
      </c>
      <c r="F30" s="241" t="str">
        <f>IF(C30&lt;&gt;"",'G2 MT Reading Scoresheet'!$I32/30,"")</f>
        <v/>
      </c>
      <c r="G30" s="241" t="str">
        <f>IF(AND($C30&lt;&gt;"",$E30&lt;&gt;"Full Refresher"),'G2 MT Reading Scoresheet'!$Q32,"")</f>
        <v/>
      </c>
      <c r="H30" s="241" t="str">
        <f>IF(AND(C30&lt;&gt;"",E30&lt;&gt;"Full Refresher"),'G2 MT Reading Scoresheet'!$R32/6,"")</f>
        <v/>
      </c>
      <c r="I30" s="210" t="str">
        <f>IF(AND(D30&lt;&gt;"",F30&lt;&gt;"Full Refresher"),'G2 MT Reading Scoresheet'!$P32,"")</f>
        <v/>
      </c>
      <c r="J30" s="245" t="str">
        <f>'G2 MT Reading Scoresheet'!$U32</f>
        <v/>
      </c>
      <c r="K30" s="57" t="str">
        <f>'G2 FIL Reading Scoresheet'!$J32</f>
        <v/>
      </c>
      <c r="L30" s="243" t="str">
        <f>IF($C30&lt;&gt;"",'G2 FIL Reading Scoresheet'!$I32/30,"")</f>
        <v/>
      </c>
      <c r="M30" s="243" t="str">
        <f>IF(AND($C30&lt;&gt;"",$K30&lt;&gt;"Full Refresher"),'G2 FIL Reading Scoresheet'!$Q32,"")</f>
        <v/>
      </c>
      <c r="N30" s="243" t="str">
        <f>IF(AND($C30&lt;&gt;"",K30&lt;&gt;"Full Refresher"),'G2 FIL Reading Scoresheet'!$R32/6,"")</f>
        <v/>
      </c>
      <c r="O30" s="57" t="str">
        <f>IF(AND(C30&lt;&gt;"",K30&lt;&gt;"Full Refresher"),'G2 FIL Reading Scoresheet'!$P32,"")</f>
        <v/>
      </c>
      <c r="P30" s="246" t="str">
        <f>'G2 FIL Reading Scoresheet'!$U32</f>
        <v/>
      </c>
      <c r="Q30" s="48" t="str">
        <f>CONCATENATE(IF(ISBLANK('G2 MT Reading Scoresheet'!V32),"",CONCATENATE("MT:",TRIM('G2 MT Reading Scoresheet'!V32)))," ",IF(ISBLANK('G2 FIL Reading Scoresheet'!V32),"",CONCATENATE("FIL:",TRIM('G2 FIL Reading Scoresheet'!V32))))</f>
        <v xml:space="preserve"> </v>
      </c>
    </row>
    <row r="31" spans="1:17" x14ac:dyDescent="0.3">
      <c r="A31" s="43">
        <v>23</v>
      </c>
      <c r="B31" s="49" t="str">
        <f>IF('G2 MT Reading Scoresheet'!B33&lt;&gt;"",'G2 MT Reading Scoresheet'!B33,"")</f>
        <v/>
      </c>
      <c r="C31" s="50" t="str">
        <f>IF('G2 MT Reading Scoresheet'!C33&lt;&gt;"",'G2 MT Reading Scoresheet'!C33,"")</f>
        <v/>
      </c>
      <c r="D31" s="51" t="str">
        <f>IF('G2 MT Reading Scoresheet'!D33&lt;&gt;"",'G2 MT Reading Scoresheet'!D33,"")</f>
        <v/>
      </c>
      <c r="E31" s="210" t="str">
        <f>'G2 MT Reading Scoresheet'!$J33</f>
        <v/>
      </c>
      <c r="F31" s="241" t="str">
        <f>IF(C31&lt;&gt;"",'G2 MT Reading Scoresheet'!$I33/30,"")</f>
        <v/>
      </c>
      <c r="G31" s="241" t="str">
        <f>IF(AND($C31&lt;&gt;"",$E31&lt;&gt;"Full Refresher"),'G2 MT Reading Scoresheet'!$Q33,"")</f>
        <v/>
      </c>
      <c r="H31" s="241" t="str">
        <f>IF(AND(C31&lt;&gt;"",E31&lt;&gt;"Full Refresher"),'G2 MT Reading Scoresheet'!$R33/6,"")</f>
        <v/>
      </c>
      <c r="I31" s="210" t="str">
        <f>IF(AND(D31&lt;&gt;"",F31&lt;&gt;"Full Refresher"),'G2 MT Reading Scoresheet'!$P33,"")</f>
        <v/>
      </c>
      <c r="J31" s="245" t="str">
        <f>'G2 MT Reading Scoresheet'!$U33</f>
        <v/>
      </c>
      <c r="K31" s="57" t="str">
        <f>'G2 FIL Reading Scoresheet'!$J33</f>
        <v/>
      </c>
      <c r="L31" s="243" t="str">
        <f>IF($C31&lt;&gt;"",'G2 FIL Reading Scoresheet'!$I33/30,"")</f>
        <v/>
      </c>
      <c r="M31" s="243" t="str">
        <f>IF(AND($C31&lt;&gt;"",$K31&lt;&gt;"Full Refresher"),'G2 FIL Reading Scoresheet'!$Q33,"")</f>
        <v/>
      </c>
      <c r="N31" s="243" t="str">
        <f>IF(AND($C31&lt;&gt;"",K31&lt;&gt;"Full Refresher"),'G2 FIL Reading Scoresheet'!$R33/6,"")</f>
        <v/>
      </c>
      <c r="O31" s="57" t="str">
        <f>IF(AND(C31&lt;&gt;"",K31&lt;&gt;"Full Refresher"),'G2 FIL Reading Scoresheet'!$P33,"")</f>
        <v/>
      </c>
      <c r="P31" s="246" t="str">
        <f>'G2 FIL Reading Scoresheet'!$U33</f>
        <v/>
      </c>
      <c r="Q31" s="52" t="str">
        <f>CONCATENATE(IF(ISBLANK('G2 MT Reading Scoresheet'!V33),"",CONCATENATE("MT:",TRIM('G2 MT Reading Scoresheet'!V33)))," ",IF(ISBLANK('G2 FIL Reading Scoresheet'!V33),"",CONCATENATE("FIL:",TRIM('G2 FIL Reading Scoresheet'!V33))))</f>
        <v xml:space="preserve"> </v>
      </c>
    </row>
    <row r="32" spans="1:17" x14ac:dyDescent="0.3">
      <c r="A32" s="44">
        <v>24</v>
      </c>
      <c r="B32" s="45" t="str">
        <f>IF('G2 MT Reading Scoresheet'!B34&lt;&gt;"",'G2 MT Reading Scoresheet'!B34,"")</f>
        <v/>
      </c>
      <c r="C32" s="46" t="str">
        <f>IF('G2 MT Reading Scoresheet'!C34&lt;&gt;"",'G2 MT Reading Scoresheet'!C34,"")</f>
        <v/>
      </c>
      <c r="D32" s="47" t="str">
        <f>IF('G2 MT Reading Scoresheet'!D34&lt;&gt;"",'G2 MT Reading Scoresheet'!D34,"")</f>
        <v/>
      </c>
      <c r="E32" s="210" t="str">
        <f>'G2 MT Reading Scoresheet'!$J34</f>
        <v/>
      </c>
      <c r="F32" s="241" t="str">
        <f>IF(C32&lt;&gt;"",'G2 MT Reading Scoresheet'!$I34/30,"")</f>
        <v/>
      </c>
      <c r="G32" s="241" t="str">
        <f>IF(AND($C32&lt;&gt;"",$E32&lt;&gt;"Full Refresher"),'G2 MT Reading Scoresheet'!$Q34,"")</f>
        <v/>
      </c>
      <c r="H32" s="241" t="str">
        <f>IF(AND(C32&lt;&gt;"",E32&lt;&gt;"Full Refresher"),'G2 MT Reading Scoresheet'!$R34/6,"")</f>
        <v/>
      </c>
      <c r="I32" s="210" t="str">
        <f>IF(AND(D32&lt;&gt;"",F32&lt;&gt;"Full Refresher"),'G2 MT Reading Scoresheet'!$P34,"")</f>
        <v/>
      </c>
      <c r="J32" s="245" t="str">
        <f>'G2 MT Reading Scoresheet'!$U34</f>
        <v/>
      </c>
      <c r="K32" s="57" t="str">
        <f>'G2 FIL Reading Scoresheet'!$J34</f>
        <v/>
      </c>
      <c r="L32" s="243" t="str">
        <f>IF($C32&lt;&gt;"",'G2 FIL Reading Scoresheet'!$I34/30,"")</f>
        <v/>
      </c>
      <c r="M32" s="243" t="str">
        <f>IF(AND($C32&lt;&gt;"",$K32&lt;&gt;"Full Refresher"),'G2 FIL Reading Scoresheet'!$Q34,"")</f>
        <v/>
      </c>
      <c r="N32" s="243" t="str">
        <f>IF(AND($C32&lt;&gt;"",K32&lt;&gt;"Full Refresher"),'G2 FIL Reading Scoresheet'!$R34/6,"")</f>
        <v/>
      </c>
      <c r="O32" s="57" t="str">
        <f>IF(AND(C32&lt;&gt;"",K32&lt;&gt;"Full Refresher"),'G2 FIL Reading Scoresheet'!$P34,"")</f>
        <v/>
      </c>
      <c r="P32" s="246" t="str">
        <f>'G2 FIL Reading Scoresheet'!$U34</f>
        <v/>
      </c>
      <c r="Q32" s="48" t="str">
        <f>CONCATENATE(IF(ISBLANK('G2 MT Reading Scoresheet'!V34),"",CONCATENATE("MT:",TRIM('G2 MT Reading Scoresheet'!V34)))," ",IF(ISBLANK('G2 FIL Reading Scoresheet'!V34),"",CONCATENATE("FIL:",TRIM('G2 FIL Reading Scoresheet'!V34))))</f>
        <v xml:space="preserve"> </v>
      </c>
    </row>
    <row r="33" spans="1:17" x14ac:dyDescent="0.3">
      <c r="A33" s="43">
        <v>25</v>
      </c>
      <c r="B33" s="49" t="str">
        <f>IF('G2 MT Reading Scoresheet'!B35&lt;&gt;"",'G2 MT Reading Scoresheet'!B35,"")</f>
        <v/>
      </c>
      <c r="C33" s="50" t="str">
        <f>IF('G2 MT Reading Scoresheet'!C35&lt;&gt;"",'G2 MT Reading Scoresheet'!C35,"")</f>
        <v/>
      </c>
      <c r="D33" s="51" t="str">
        <f>IF('G2 MT Reading Scoresheet'!D35&lt;&gt;"",'G2 MT Reading Scoresheet'!D35,"")</f>
        <v/>
      </c>
      <c r="E33" s="210" t="str">
        <f>'G2 MT Reading Scoresheet'!$J35</f>
        <v/>
      </c>
      <c r="F33" s="241" t="str">
        <f>IF(C33&lt;&gt;"",'G2 MT Reading Scoresheet'!$I35/30,"")</f>
        <v/>
      </c>
      <c r="G33" s="241" t="str">
        <f>IF(AND($C33&lt;&gt;"",$E33&lt;&gt;"Full Refresher"),'G2 MT Reading Scoresheet'!$Q35,"")</f>
        <v/>
      </c>
      <c r="H33" s="241" t="str">
        <f>IF(AND(C33&lt;&gt;"",E33&lt;&gt;"Full Refresher"),'G2 MT Reading Scoresheet'!$R35/6,"")</f>
        <v/>
      </c>
      <c r="I33" s="210" t="str">
        <f>IF(AND(D33&lt;&gt;"",F33&lt;&gt;"Full Refresher"),'G2 MT Reading Scoresheet'!$P35,"")</f>
        <v/>
      </c>
      <c r="J33" s="245" t="str">
        <f>'G2 MT Reading Scoresheet'!$U35</f>
        <v/>
      </c>
      <c r="K33" s="57" t="str">
        <f>'G2 FIL Reading Scoresheet'!$J35</f>
        <v/>
      </c>
      <c r="L33" s="243" t="str">
        <f>IF($C33&lt;&gt;"",'G2 FIL Reading Scoresheet'!$I35/30,"")</f>
        <v/>
      </c>
      <c r="M33" s="243" t="str">
        <f>IF(AND($C33&lt;&gt;"",$K33&lt;&gt;"Full Refresher"),'G2 FIL Reading Scoresheet'!$Q35,"")</f>
        <v/>
      </c>
      <c r="N33" s="243" t="str">
        <f>IF(AND($C33&lt;&gt;"",K33&lt;&gt;"Full Refresher"),'G2 FIL Reading Scoresheet'!$R35/6,"")</f>
        <v/>
      </c>
      <c r="O33" s="57" t="str">
        <f>IF(AND(C33&lt;&gt;"",K33&lt;&gt;"Full Refresher"),'G2 FIL Reading Scoresheet'!$P35,"")</f>
        <v/>
      </c>
      <c r="P33" s="246" t="str">
        <f>'G2 FIL Reading Scoresheet'!$U35</f>
        <v/>
      </c>
      <c r="Q33" s="52" t="str">
        <f>CONCATENATE(IF(ISBLANK('G2 MT Reading Scoresheet'!V35),"",CONCATENATE("MT:",TRIM('G2 MT Reading Scoresheet'!V35)))," ",IF(ISBLANK('G2 FIL Reading Scoresheet'!V35),"",CONCATENATE("FIL:",TRIM('G2 FIL Reading Scoresheet'!V35))))</f>
        <v xml:space="preserve"> </v>
      </c>
    </row>
    <row r="34" spans="1:17" x14ac:dyDescent="0.3">
      <c r="A34" s="44">
        <v>26</v>
      </c>
      <c r="B34" s="45" t="str">
        <f>IF('G2 MT Reading Scoresheet'!B36&lt;&gt;"",'G2 MT Reading Scoresheet'!B36,"")</f>
        <v/>
      </c>
      <c r="C34" s="46" t="str">
        <f>IF('G2 MT Reading Scoresheet'!C36&lt;&gt;"",'G2 MT Reading Scoresheet'!C36,"")</f>
        <v/>
      </c>
      <c r="D34" s="47" t="str">
        <f>IF('G2 MT Reading Scoresheet'!D36&lt;&gt;"",'G2 MT Reading Scoresheet'!D36,"")</f>
        <v/>
      </c>
      <c r="E34" s="210" t="str">
        <f>'G2 MT Reading Scoresheet'!$J36</f>
        <v/>
      </c>
      <c r="F34" s="241" t="str">
        <f>IF(C34&lt;&gt;"",'G2 MT Reading Scoresheet'!$I36/30,"")</f>
        <v/>
      </c>
      <c r="G34" s="241" t="str">
        <f>IF(AND($C34&lt;&gt;"",$E34&lt;&gt;"Full Refresher"),'G2 MT Reading Scoresheet'!$Q36,"")</f>
        <v/>
      </c>
      <c r="H34" s="241" t="str">
        <f>IF(AND(C34&lt;&gt;"",E34&lt;&gt;"Full Refresher"),'G2 MT Reading Scoresheet'!$R36/6,"")</f>
        <v/>
      </c>
      <c r="I34" s="210" t="str">
        <f>IF(AND(D34&lt;&gt;"",F34&lt;&gt;"Full Refresher"),'G2 MT Reading Scoresheet'!$P36,"")</f>
        <v/>
      </c>
      <c r="J34" s="245" t="str">
        <f>'G2 MT Reading Scoresheet'!$U36</f>
        <v/>
      </c>
      <c r="K34" s="57" t="str">
        <f>'G2 FIL Reading Scoresheet'!$J36</f>
        <v/>
      </c>
      <c r="L34" s="243" t="str">
        <f>IF($C34&lt;&gt;"",'G2 FIL Reading Scoresheet'!$I36/30,"")</f>
        <v/>
      </c>
      <c r="M34" s="243" t="str">
        <f>IF(AND($C34&lt;&gt;"",$K34&lt;&gt;"Full Refresher"),'G2 FIL Reading Scoresheet'!$Q36,"")</f>
        <v/>
      </c>
      <c r="N34" s="243" t="str">
        <f>IF(AND($C34&lt;&gt;"",K34&lt;&gt;"Full Refresher"),'G2 FIL Reading Scoresheet'!$R36/6,"")</f>
        <v/>
      </c>
      <c r="O34" s="57" t="str">
        <f>IF(AND(C34&lt;&gt;"",K34&lt;&gt;"Full Refresher"),'G2 FIL Reading Scoresheet'!$P36,"")</f>
        <v/>
      </c>
      <c r="P34" s="246" t="str">
        <f>'G2 FIL Reading Scoresheet'!$U36</f>
        <v/>
      </c>
      <c r="Q34" s="48" t="str">
        <f>CONCATENATE(IF(ISBLANK('G2 MT Reading Scoresheet'!V36),"",CONCATENATE("MT:",TRIM('G2 MT Reading Scoresheet'!V36)))," ",IF(ISBLANK('G2 FIL Reading Scoresheet'!V36),"",CONCATENATE("FIL:",TRIM('G2 FIL Reading Scoresheet'!V36))))</f>
        <v xml:space="preserve"> </v>
      </c>
    </row>
    <row r="35" spans="1:17" x14ac:dyDescent="0.3">
      <c r="A35" s="43">
        <v>27</v>
      </c>
      <c r="B35" s="49" t="str">
        <f>IF('G2 MT Reading Scoresheet'!B37&lt;&gt;"",'G2 MT Reading Scoresheet'!B37,"")</f>
        <v/>
      </c>
      <c r="C35" s="50" t="str">
        <f>IF('G2 MT Reading Scoresheet'!C37&lt;&gt;"",'G2 MT Reading Scoresheet'!C37,"")</f>
        <v/>
      </c>
      <c r="D35" s="51" t="str">
        <f>IF('G2 MT Reading Scoresheet'!D37&lt;&gt;"",'G2 MT Reading Scoresheet'!D37,"")</f>
        <v/>
      </c>
      <c r="E35" s="210" t="str">
        <f>'G2 MT Reading Scoresheet'!$J37</f>
        <v/>
      </c>
      <c r="F35" s="241" t="str">
        <f>IF(C35&lt;&gt;"",'G2 MT Reading Scoresheet'!$I37/30,"")</f>
        <v/>
      </c>
      <c r="G35" s="241" t="str">
        <f>IF(AND($C35&lt;&gt;"",$E35&lt;&gt;"Full Refresher"),'G2 MT Reading Scoresheet'!$Q37,"")</f>
        <v/>
      </c>
      <c r="H35" s="241" t="str">
        <f>IF(AND(C35&lt;&gt;"",E35&lt;&gt;"Full Refresher"),'G2 MT Reading Scoresheet'!$R37/6,"")</f>
        <v/>
      </c>
      <c r="I35" s="210" t="str">
        <f>IF(AND(D35&lt;&gt;"",F35&lt;&gt;"Full Refresher"),'G2 MT Reading Scoresheet'!$P37,"")</f>
        <v/>
      </c>
      <c r="J35" s="245" t="str">
        <f>'G2 MT Reading Scoresheet'!$U37</f>
        <v/>
      </c>
      <c r="K35" s="57" t="str">
        <f>'G2 FIL Reading Scoresheet'!$J37</f>
        <v/>
      </c>
      <c r="L35" s="243" t="str">
        <f>IF($C35&lt;&gt;"",'G2 FIL Reading Scoresheet'!$I37/30,"")</f>
        <v/>
      </c>
      <c r="M35" s="243" t="str">
        <f>IF(AND($C35&lt;&gt;"",$K35&lt;&gt;"Full Refresher"),'G2 FIL Reading Scoresheet'!$Q37,"")</f>
        <v/>
      </c>
      <c r="N35" s="243" t="str">
        <f>IF(AND($C35&lt;&gt;"",K35&lt;&gt;"Full Refresher"),'G2 FIL Reading Scoresheet'!$R37/6,"")</f>
        <v/>
      </c>
      <c r="O35" s="57" t="str">
        <f>IF(AND(C35&lt;&gt;"",K35&lt;&gt;"Full Refresher"),'G2 FIL Reading Scoresheet'!$P37,"")</f>
        <v/>
      </c>
      <c r="P35" s="246" t="str">
        <f>'G2 FIL Reading Scoresheet'!$U37</f>
        <v/>
      </c>
      <c r="Q35" s="52" t="str">
        <f>CONCATENATE(IF(ISBLANK('G2 MT Reading Scoresheet'!V37),"",CONCATENATE("MT:",TRIM('G2 MT Reading Scoresheet'!V37)))," ",IF(ISBLANK('G2 FIL Reading Scoresheet'!V37),"",CONCATENATE("FIL:",TRIM('G2 FIL Reading Scoresheet'!V37))))</f>
        <v xml:space="preserve"> </v>
      </c>
    </row>
    <row r="36" spans="1:17" x14ac:dyDescent="0.3">
      <c r="A36" s="44">
        <v>28</v>
      </c>
      <c r="B36" s="45" t="str">
        <f>IF('G2 MT Reading Scoresheet'!B38&lt;&gt;"",'G2 MT Reading Scoresheet'!B38,"")</f>
        <v/>
      </c>
      <c r="C36" s="46" t="str">
        <f>IF('G2 MT Reading Scoresheet'!C38&lt;&gt;"",'G2 MT Reading Scoresheet'!C38,"")</f>
        <v/>
      </c>
      <c r="D36" s="47" t="str">
        <f>IF('G2 MT Reading Scoresheet'!D38&lt;&gt;"",'G2 MT Reading Scoresheet'!D38,"")</f>
        <v/>
      </c>
      <c r="E36" s="210" t="str">
        <f>'G2 MT Reading Scoresheet'!$J38</f>
        <v/>
      </c>
      <c r="F36" s="241" t="str">
        <f>IF(C36&lt;&gt;"",'G2 MT Reading Scoresheet'!$I38/30,"")</f>
        <v/>
      </c>
      <c r="G36" s="241" t="str">
        <f>IF(AND($C36&lt;&gt;"",$E36&lt;&gt;"Full Refresher"),'G2 MT Reading Scoresheet'!$Q38,"")</f>
        <v/>
      </c>
      <c r="H36" s="241" t="str">
        <f>IF(AND(C36&lt;&gt;"",E36&lt;&gt;"Full Refresher"),'G2 MT Reading Scoresheet'!$R38/6,"")</f>
        <v/>
      </c>
      <c r="I36" s="210" t="str">
        <f>IF(AND(D36&lt;&gt;"",F36&lt;&gt;"Full Refresher"),'G2 MT Reading Scoresheet'!$P38,"")</f>
        <v/>
      </c>
      <c r="J36" s="245" t="str">
        <f>'G2 MT Reading Scoresheet'!$U38</f>
        <v/>
      </c>
      <c r="K36" s="57" t="str">
        <f>'G2 FIL Reading Scoresheet'!$J38</f>
        <v/>
      </c>
      <c r="L36" s="243" t="str">
        <f>IF($C36&lt;&gt;"",'G2 FIL Reading Scoresheet'!$I38/30,"")</f>
        <v/>
      </c>
      <c r="M36" s="243" t="str">
        <f>IF(AND($C36&lt;&gt;"",$K36&lt;&gt;"Full Refresher"),'G2 FIL Reading Scoresheet'!$Q38,"")</f>
        <v/>
      </c>
      <c r="N36" s="243" t="str">
        <f>IF(AND($C36&lt;&gt;"",K36&lt;&gt;"Full Refresher"),'G2 FIL Reading Scoresheet'!$R38/6,"")</f>
        <v/>
      </c>
      <c r="O36" s="57" t="str">
        <f>IF(AND(C36&lt;&gt;"",K36&lt;&gt;"Full Refresher"),'G2 FIL Reading Scoresheet'!$P38,"")</f>
        <v/>
      </c>
      <c r="P36" s="246" t="str">
        <f>'G2 FIL Reading Scoresheet'!$U38</f>
        <v/>
      </c>
      <c r="Q36" s="48" t="str">
        <f>CONCATENATE(IF(ISBLANK('G2 MT Reading Scoresheet'!V38),"",CONCATENATE("MT:",TRIM('G2 MT Reading Scoresheet'!V38)))," ",IF(ISBLANK('G2 FIL Reading Scoresheet'!V38),"",CONCATENATE("FIL:",TRIM('G2 FIL Reading Scoresheet'!V38))))</f>
        <v xml:space="preserve"> </v>
      </c>
    </row>
    <row r="37" spans="1:17" x14ac:dyDescent="0.3">
      <c r="A37" s="43">
        <v>29</v>
      </c>
      <c r="B37" s="49" t="str">
        <f>IF('G2 MT Reading Scoresheet'!B39&lt;&gt;"",'G2 MT Reading Scoresheet'!B39,"")</f>
        <v/>
      </c>
      <c r="C37" s="50" t="str">
        <f>IF('G2 MT Reading Scoresheet'!C39&lt;&gt;"",'G2 MT Reading Scoresheet'!C39,"")</f>
        <v/>
      </c>
      <c r="D37" s="51" t="str">
        <f>IF('G2 MT Reading Scoresheet'!D39&lt;&gt;"",'G2 MT Reading Scoresheet'!D39,"")</f>
        <v/>
      </c>
      <c r="E37" s="210" t="str">
        <f>'G2 MT Reading Scoresheet'!$J39</f>
        <v/>
      </c>
      <c r="F37" s="241" t="str">
        <f>IF(C37&lt;&gt;"",'G2 MT Reading Scoresheet'!$I39/30,"")</f>
        <v/>
      </c>
      <c r="G37" s="241" t="str">
        <f>IF(AND($C37&lt;&gt;"",$E37&lt;&gt;"Full Refresher"),'G2 MT Reading Scoresheet'!$Q39,"")</f>
        <v/>
      </c>
      <c r="H37" s="241" t="str">
        <f>IF(AND(C37&lt;&gt;"",E37&lt;&gt;"Full Refresher"),'G2 MT Reading Scoresheet'!$R39/6,"")</f>
        <v/>
      </c>
      <c r="I37" s="210" t="str">
        <f>IF(AND(D37&lt;&gt;"",F37&lt;&gt;"Full Refresher"),'G2 MT Reading Scoresheet'!$P39,"")</f>
        <v/>
      </c>
      <c r="J37" s="245" t="str">
        <f>'G2 MT Reading Scoresheet'!$U39</f>
        <v/>
      </c>
      <c r="K37" s="57" t="str">
        <f>'G2 FIL Reading Scoresheet'!$J39</f>
        <v/>
      </c>
      <c r="L37" s="243" t="str">
        <f>IF($C37&lt;&gt;"",'G2 FIL Reading Scoresheet'!$I39/30,"")</f>
        <v/>
      </c>
      <c r="M37" s="243" t="str">
        <f>IF(AND($C37&lt;&gt;"",$K37&lt;&gt;"Full Refresher"),'G2 FIL Reading Scoresheet'!$Q39,"")</f>
        <v/>
      </c>
      <c r="N37" s="243" t="str">
        <f>IF(AND($C37&lt;&gt;"",K37&lt;&gt;"Full Refresher"),'G2 FIL Reading Scoresheet'!$R39/6,"")</f>
        <v/>
      </c>
      <c r="O37" s="57" t="str">
        <f>IF(AND(C37&lt;&gt;"",K37&lt;&gt;"Full Refresher"),'G2 FIL Reading Scoresheet'!$P39,"")</f>
        <v/>
      </c>
      <c r="P37" s="246" t="str">
        <f>'G2 FIL Reading Scoresheet'!$U39</f>
        <v/>
      </c>
      <c r="Q37" s="52" t="str">
        <f>CONCATENATE(IF(ISBLANK('G2 MT Reading Scoresheet'!V39),"",CONCATENATE("MT:",TRIM('G2 MT Reading Scoresheet'!V39)))," ",IF(ISBLANK('G2 FIL Reading Scoresheet'!V39),"",CONCATENATE("FIL:",TRIM('G2 FIL Reading Scoresheet'!V39))))</f>
        <v xml:space="preserve"> </v>
      </c>
    </row>
    <row r="38" spans="1:17" x14ac:dyDescent="0.3">
      <c r="A38" s="44">
        <v>30</v>
      </c>
      <c r="B38" s="45" t="str">
        <f>IF('G2 MT Reading Scoresheet'!B40&lt;&gt;"",'G2 MT Reading Scoresheet'!B40,"")</f>
        <v/>
      </c>
      <c r="C38" s="46" t="str">
        <f>IF('G2 MT Reading Scoresheet'!C40&lt;&gt;"",'G2 MT Reading Scoresheet'!C40,"")</f>
        <v/>
      </c>
      <c r="D38" s="47" t="str">
        <f>IF('G2 MT Reading Scoresheet'!D40&lt;&gt;"",'G2 MT Reading Scoresheet'!D40,"")</f>
        <v/>
      </c>
      <c r="E38" s="210" t="str">
        <f>'G2 MT Reading Scoresheet'!$J40</f>
        <v/>
      </c>
      <c r="F38" s="241" t="str">
        <f>IF(C38&lt;&gt;"",'G2 MT Reading Scoresheet'!$I40/30,"")</f>
        <v/>
      </c>
      <c r="G38" s="241" t="str">
        <f>IF(AND($C38&lt;&gt;"",$E38&lt;&gt;"Full Refresher"),'G2 MT Reading Scoresheet'!$Q40,"")</f>
        <v/>
      </c>
      <c r="H38" s="241" t="str">
        <f>IF(AND(C38&lt;&gt;"",E38&lt;&gt;"Full Refresher"),'G2 MT Reading Scoresheet'!$R40/6,"")</f>
        <v/>
      </c>
      <c r="I38" s="210" t="str">
        <f>IF(AND(D38&lt;&gt;"",F38&lt;&gt;"Full Refresher"),'G2 MT Reading Scoresheet'!$P40,"")</f>
        <v/>
      </c>
      <c r="J38" s="245" t="str">
        <f>'G2 MT Reading Scoresheet'!$U40</f>
        <v/>
      </c>
      <c r="K38" s="57" t="str">
        <f>'G2 FIL Reading Scoresheet'!$J40</f>
        <v/>
      </c>
      <c r="L38" s="243" t="str">
        <f>IF($C38&lt;&gt;"",'G2 FIL Reading Scoresheet'!$I40/30,"")</f>
        <v/>
      </c>
      <c r="M38" s="243" t="str">
        <f>IF(AND($C38&lt;&gt;"",$K38&lt;&gt;"Full Refresher"),'G2 FIL Reading Scoresheet'!$Q40,"")</f>
        <v/>
      </c>
      <c r="N38" s="243" t="str">
        <f>IF(AND($C38&lt;&gt;"",K38&lt;&gt;"Full Refresher"),'G2 FIL Reading Scoresheet'!$R40/6,"")</f>
        <v/>
      </c>
      <c r="O38" s="57" t="str">
        <f>IF(AND(C38&lt;&gt;"",K38&lt;&gt;"Full Refresher"),'G2 FIL Reading Scoresheet'!$P40,"")</f>
        <v/>
      </c>
      <c r="P38" s="246" t="str">
        <f>'G2 FIL Reading Scoresheet'!$U40</f>
        <v/>
      </c>
      <c r="Q38" s="48" t="str">
        <f>CONCATENATE(IF(ISBLANK('G2 MT Reading Scoresheet'!V40),"",CONCATENATE("MT:",TRIM('G2 MT Reading Scoresheet'!V40)))," ",IF(ISBLANK('G2 FIL Reading Scoresheet'!V40),"",CONCATENATE("FIL:",TRIM('G2 FIL Reading Scoresheet'!V40))))</f>
        <v xml:space="preserve"> </v>
      </c>
    </row>
    <row r="39" spans="1:17" x14ac:dyDescent="0.3">
      <c r="A39" s="43">
        <v>31</v>
      </c>
      <c r="B39" s="49" t="str">
        <f>IF('G2 MT Reading Scoresheet'!B41&lt;&gt;"",'G2 MT Reading Scoresheet'!B41,"")</f>
        <v/>
      </c>
      <c r="C39" s="50" t="str">
        <f>IF('G2 MT Reading Scoresheet'!C41&lt;&gt;"",'G2 MT Reading Scoresheet'!C41,"")</f>
        <v/>
      </c>
      <c r="D39" s="51" t="str">
        <f>IF('G2 MT Reading Scoresheet'!D41&lt;&gt;"",'G2 MT Reading Scoresheet'!D41,"")</f>
        <v/>
      </c>
      <c r="E39" s="210" t="str">
        <f>'G2 MT Reading Scoresheet'!$J41</f>
        <v/>
      </c>
      <c r="F39" s="241" t="str">
        <f>IF(C39&lt;&gt;"",'G2 MT Reading Scoresheet'!$I41/30,"")</f>
        <v/>
      </c>
      <c r="G39" s="241" t="str">
        <f>IF(AND($C39&lt;&gt;"",$E39&lt;&gt;"Full Refresher"),'G2 MT Reading Scoresheet'!$Q41,"")</f>
        <v/>
      </c>
      <c r="H39" s="241" t="str">
        <f>IF(AND(C39&lt;&gt;"",E39&lt;&gt;"Full Refresher"),'G2 MT Reading Scoresheet'!$R41/6,"")</f>
        <v/>
      </c>
      <c r="I39" s="210" t="str">
        <f>IF(AND(D39&lt;&gt;"",F39&lt;&gt;"Full Refresher"),'G2 MT Reading Scoresheet'!$P41,"")</f>
        <v/>
      </c>
      <c r="J39" s="245" t="str">
        <f>'G2 MT Reading Scoresheet'!$U41</f>
        <v/>
      </c>
      <c r="K39" s="57" t="str">
        <f>'G2 FIL Reading Scoresheet'!$J41</f>
        <v/>
      </c>
      <c r="L39" s="243" t="str">
        <f>IF($C39&lt;&gt;"",'G2 FIL Reading Scoresheet'!$I41/30,"")</f>
        <v/>
      </c>
      <c r="M39" s="243" t="str">
        <f>IF(AND($C39&lt;&gt;"",$K39&lt;&gt;"Full Refresher"),'G2 FIL Reading Scoresheet'!$Q41,"")</f>
        <v/>
      </c>
      <c r="N39" s="243" t="str">
        <f>IF(AND($C39&lt;&gt;"",K39&lt;&gt;"Full Refresher"),'G2 FIL Reading Scoresheet'!$R41/6,"")</f>
        <v/>
      </c>
      <c r="O39" s="57" t="str">
        <f>IF(AND(C39&lt;&gt;"",K39&lt;&gt;"Full Refresher"),'G2 FIL Reading Scoresheet'!$P41,"")</f>
        <v/>
      </c>
      <c r="P39" s="246" t="str">
        <f>'G2 FIL Reading Scoresheet'!$U41</f>
        <v/>
      </c>
      <c r="Q39" s="52" t="str">
        <f>CONCATENATE(IF(ISBLANK('G2 MT Reading Scoresheet'!V41),"",CONCATENATE("MT:",TRIM('G2 MT Reading Scoresheet'!V41)))," ",IF(ISBLANK('G2 FIL Reading Scoresheet'!V41),"",CONCATENATE("FIL:",TRIM('G2 FIL Reading Scoresheet'!V41))))</f>
        <v xml:space="preserve"> </v>
      </c>
    </row>
    <row r="40" spans="1:17" x14ac:dyDescent="0.3">
      <c r="A40" s="44">
        <v>32</v>
      </c>
      <c r="B40" s="45" t="str">
        <f>IF('G2 MT Reading Scoresheet'!B42&lt;&gt;"",'G2 MT Reading Scoresheet'!B42,"")</f>
        <v/>
      </c>
      <c r="C40" s="46" t="str">
        <f>IF('G2 MT Reading Scoresheet'!C42&lt;&gt;"",'G2 MT Reading Scoresheet'!C42,"")</f>
        <v/>
      </c>
      <c r="D40" s="47" t="str">
        <f>IF('G2 MT Reading Scoresheet'!D42&lt;&gt;"",'G2 MT Reading Scoresheet'!D42,"")</f>
        <v/>
      </c>
      <c r="E40" s="210" t="str">
        <f>'G2 MT Reading Scoresheet'!$J42</f>
        <v/>
      </c>
      <c r="F40" s="241" t="str">
        <f>IF(C40&lt;&gt;"",'G2 MT Reading Scoresheet'!$I42/30,"")</f>
        <v/>
      </c>
      <c r="G40" s="241" t="str">
        <f>IF(AND($C40&lt;&gt;"",$E40&lt;&gt;"Full Refresher"),'G2 MT Reading Scoresheet'!$Q42,"")</f>
        <v/>
      </c>
      <c r="H40" s="241" t="str">
        <f>IF(AND(C40&lt;&gt;"",E40&lt;&gt;"Full Refresher"),'G2 MT Reading Scoresheet'!$R42/6,"")</f>
        <v/>
      </c>
      <c r="I40" s="210" t="str">
        <f>IF(AND(D40&lt;&gt;"",F40&lt;&gt;"Full Refresher"),'G2 MT Reading Scoresheet'!$P42,"")</f>
        <v/>
      </c>
      <c r="J40" s="245" t="str">
        <f>'G2 MT Reading Scoresheet'!$U42</f>
        <v/>
      </c>
      <c r="K40" s="57" t="str">
        <f>'G2 FIL Reading Scoresheet'!$J42</f>
        <v/>
      </c>
      <c r="L40" s="243" t="str">
        <f>IF($C40&lt;&gt;"",'G2 FIL Reading Scoresheet'!$I42/30,"")</f>
        <v/>
      </c>
      <c r="M40" s="243" t="str">
        <f>IF(AND($C40&lt;&gt;"",$K40&lt;&gt;"Full Refresher"),'G2 FIL Reading Scoresheet'!$Q42,"")</f>
        <v/>
      </c>
      <c r="N40" s="243" t="str">
        <f>IF(AND($C40&lt;&gt;"",K40&lt;&gt;"Full Refresher"),'G2 FIL Reading Scoresheet'!$R42/6,"")</f>
        <v/>
      </c>
      <c r="O40" s="57" t="str">
        <f>IF(AND(C40&lt;&gt;"",K40&lt;&gt;"Full Refresher"),'G2 FIL Reading Scoresheet'!$P42,"")</f>
        <v/>
      </c>
      <c r="P40" s="246" t="str">
        <f>'G2 FIL Reading Scoresheet'!$U42</f>
        <v/>
      </c>
      <c r="Q40" s="48" t="str">
        <f>CONCATENATE(IF(ISBLANK('G2 MT Reading Scoresheet'!V42),"",CONCATENATE("MT:",TRIM('G2 MT Reading Scoresheet'!V42)))," ",IF(ISBLANK('G2 FIL Reading Scoresheet'!V42),"",CONCATENATE("FIL:",TRIM('G2 FIL Reading Scoresheet'!V42))))</f>
        <v xml:space="preserve"> </v>
      </c>
    </row>
    <row r="41" spans="1:17" x14ac:dyDescent="0.3">
      <c r="A41" s="43">
        <v>33</v>
      </c>
      <c r="B41" s="49" t="str">
        <f>IF('G2 MT Reading Scoresheet'!B43&lt;&gt;"",'G2 MT Reading Scoresheet'!B43,"")</f>
        <v/>
      </c>
      <c r="C41" s="50" t="str">
        <f>IF('G2 MT Reading Scoresheet'!C43&lt;&gt;"",'G2 MT Reading Scoresheet'!C43,"")</f>
        <v/>
      </c>
      <c r="D41" s="51" t="str">
        <f>IF('G2 MT Reading Scoresheet'!D43&lt;&gt;"",'G2 MT Reading Scoresheet'!D43,"")</f>
        <v/>
      </c>
      <c r="E41" s="210" t="str">
        <f>'G2 MT Reading Scoresheet'!$J43</f>
        <v/>
      </c>
      <c r="F41" s="241" t="str">
        <f>IF(C41&lt;&gt;"",'G2 MT Reading Scoresheet'!$I43/30,"")</f>
        <v/>
      </c>
      <c r="G41" s="241" t="str">
        <f>IF(AND($C41&lt;&gt;"",$E41&lt;&gt;"Full Refresher"),'G2 MT Reading Scoresheet'!$Q43,"")</f>
        <v/>
      </c>
      <c r="H41" s="241" t="str">
        <f>IF(AND(C41&lt;&gt;"",E41&lt;&gt;"Full Refresher"),'G2 MT Reading Scoresheet'!$R43/6,"")</f>
        <v/>
      </c>
      <c r="I41" s="210" t="str">
        <f>IF(AND(D41&lt;&gt;"",F41&lt;&gt;"Full Refresher"),'G2 MT Reading Scoresheet'!$P43,"")</f>
        <v/>
      </c>
      <c r="J41" s="245" t="str">
        <f>'G2 MT Reading Scoresheet'!$U43</f>
        <v/>
      </c>
      <c r="K41" s="57" t="str">
        <f>'G2 FIL Reading Scoresheet'!$J43</f>
        <v/>
      </c>
      <c r="L41" s="243" t="str">
        <f>IF($C41&lt;&gt;"",'G2 FIL Reading Scoresheet'!$I43/30,"")</f>
        <v/>
      </c>
      <c r="M41" s="243" t="str">
        <f>IF(AND($C41&lt;&gt;"",$K41&lt;&gt;"Full Refresher"),'G2 FIL Reading Scoresheet'!$Q43,"")</f>
        <v/>
      </c>
      <c r="N41" s="243" t="str">
        <f>IF(AND($C41&lt;&gt;"",K41&lt;&gt;"Full Refresher"),'G2 FIL Reading Scoresheet'!$R43/6,"")</f>
        <v/>
      </c>
      <c r="O41" s="57" t="str">
        <f>IF(AND(C41&lt;&gt;"",K41&lt;&gt;"Full Refresher"),'G2 FIL Reading Scoresheet'!$P43,"")</f>
        <v/>
      </c>
      <c r="P41" s="246" t="str">
        <f>'G2 FIL Reading Scoresheet'!$U43</f>
        <v/>
      </c>
      <c r="Q41" s="52" t="str">
        <f>CONCATENATE(IF(ISBLANK('G2 MT Reading Scoresheet'!V43),"",CONCATENATE("MT:",TRIM('G2 MT Reading Scoresheet'!V43)))," ",IF(ISBLANK('G2 FIL Reading Scoresheet'!V43),"",CONCATENATE("FIL:",TRIM('G2 FIL Reading Scoresheet'!V43))))</f>
        <v xml:space="preserve"> </v>
      </c>
    </row>
    <row r="42" spans="1:17" x14ac:dyDescent="0.3">
      <c r="A42" s="44">
        <v>34</v>
      </c>
      <c r="B42" s="45" t="str">
        <f>IF('G2 MT Reading Scoresheet'!B44&lt;&gt;"",'G2 MT Reading Scoresheet'!B44,"")</f>
        <v/>
      </c>
      <c r="C42" s="46" t="str">
        <f>IF('G2 MT Reading Scoresheet'!C44&lt;&gt;"",'G2 MT Reading Scoresheet'!C44,"")</f>
        <v/>
      </c>
      <c r="D42" s="47" t="str">
        <f>IF('G2 MT Reading Scoresheet'!D44&lt;&gt;"",'G2 MT Reading Scoresheet'!D44,"")</f>
        <v/>
      </c>
      <c r="E42" s="210" t="str">
        <f>'G2 MT Reading Scoresheet'!$J44</f>
        <v/>
      </c>
      <c r="F42" s="241" t="str">
        <f>IF(C42&lt;&gt;"",'G2 MT Reading Scoresheet'!$I44/30,"")</f>
        <v/>
      </c>
      <c r="G42" s="241" t="str">
        <f>IF(AND($C42&lt;&gt;"",$E42&lt;&gt;"Full Refresher"),'G2 MT Reading Scoresheet'!$Q44,"")</f>
        <v/>
      </c>
      <c r="H42" s="241" t="str">
        <f>IF(AND(C42&lt;&gt;"",E42&lt;&gt;"Full Refresher"),'G2 MT Reading Scoresheet'!$R44/6,"")</f>
        <v/>
      </c>
      <c r="I42" s="210" t="str">
        <f>IF(AND(D42&lt;&gt;"",F42&lt;&gt;"Full Refresher"),'G2 MT Reading Scoresheet'!$P44,"")</f>
        <v/>
      </c>
      <c r="J42" s="245" t="str">
        <f>'G2 MT Reading Scoresheet'!$U44</f>
        <v/>
      </c>
      <c r="K42" s="57" t="str">
        <f>'G2 FIL Reading Scoresheet'!$J44</f>
        <v/>
      </c>
      <c r="L42" s="243" t="str">
        <f>IF($C42&lt;&gt;"",'G2 FIL Reading Scoresheet'!$I44/30,"")</f>
        <v/>
      </c>
      <c r="M42" s="243" t="str">
        <f>IF(AND($C42&lt;&gt;"",$K42&lt;&gt;"Full Refresher"),'G2 FIL Reading Scoresheet'!$Q44,"")</f>
        <v/>
      </c>
      <c r="N42" s="243" t="str">
        <f>IF(AND($C42&lt;&gt;"",K42&lt;&gt;"Full Refresher"),'G2 FIL Reading Scoresheet'!$R44/6,"")</f>
        <v/>
      </c>
      <c r="O42" s="57" t="str">
        <f>IF(AND(C42&lt;&gt;"",K42&lt;&gt;"Full Refresher"),'G2 FIL Reading Scoresheet'!$P44,"")</f>
        <v/>
      </c>
      <c r="P42" s="246" t="str">
        <f>'G2 FIL Reading Scoresheet'!$U44</f>
        <v/>
      </c>
      <c r="Q42" s="48" t="str">
        <f>CONCATENATE(IF(ISBLANK('G2 MT Reading Scoresheet'!V44),"",CONCATENATE("MT:",TRIM('G2 MT Reading Scoresheet'!V44)))," ",IF(ISBLANK('G2 FIL Reading Scoresheet'!V44),"",CONCATENATE("FIL:",TRIM('G2 FIL Reading Scoresheet'!V44))))</f>
        <v xml:space="preserve"> </v>
      </c>
    </row>
    <row r="43" spans="1:17" x14ac:dyDescent="0.3">
      <c r="A43" s="43">
        <v>35</v>
      </c>
      <c r="B43" s="49" t="str">
        <f>IF('G2 MT Reading Scoresheet'!B45&lt;&gt;"",'G2 MT Reading Scoresheet'!B45,"")</f>
        <v/>
      </c>
      <c r="C43" s="50" t="str">
        <f>IF('G2 MT Reading Scoresheet'!C45&lt;&gt;"",'G2 MT Reading Scoresheet'!C45,"")</f>
        <v/>
      </c>
      <c r="D43" s="51" t="str">
        <f>IF('G2 MT Reading Scoresheet'!D45&lt;&gt;"",'G2 MT Reading Scoresheet'!D45,"")</f>
        <v/>
      </c>
      <c r="E43" s="210" t="str">
        <f>'G2 MT Reading Scoresheet'!$J45</f>
        <v/>
      </c>
      <c r="F43" s="241" t="str">
        <f>IF(C43&lt;&gt;"",'G2 MT Reading Scoresheet'!$I45/30,"")</f>
        <v/>
      </c>
      <c r="G43" s="241" t="str">
        <f>IF(AND($C43&lt;&gt;"",$E43&lt;&gt;"Full Refresher"),'G2 MT Reading Scoresheet'!$Q45,"")</f>
        <v/>
      </c>
      <c r="H43" s="241" t="str">
        <f>IF(AND(C43&lt;&gt;"",E43&lt;&gt;"Full Refresher"),'G2 MT Reading Scoresheet'!$R45/6,"")</f>
        <v/>
      </c>
      <c r="I43" s="210" t="str">
        <f>IF(AND(D43&lt;&gt;"",F43&lt;&gt;"Full Refresher"),'G2 MT Reading Scoresheet'!$P45,"")</f>
        <v/>
      </c>
      <c r="J43" s="245" t="str">
        <f>'G2 MT Reading Scoresheet'!$U45</f>
        <v/>
      </c>
      <c r="K43" s="57" t="str">
        <f>'G2 FIL Reading Scoresheet'!$J45</f>
        <v/>
      </c>
      <c r="L43" s="243" t="str">
        <f>IF($C43&lt;&gt;"",'G2 FIL Reading Scoresheet'!$I45/30,"")</f>
        <v/>
      </c>
      <c r="M43" s="243" t="str">
        <f>IF(AND($C43&lt;&gt;"",$K43&lt;&gt;"Full Refresher"),'G2 FIL Reading Scoresheet'!$Q45,"")</f>
        <v/>
      </c>
      <c r="N43" s="243" t="str">
        <f>IF(AND($C43&lt;&gt;"",K43&lt;&gt;"Full Refresher"),'G2 FIL Reading Scoresheet'!$R45/6,"")</f>
        <v/>
      </c>
      <c r="O43" s="57" t="str">
        <f>IF(AND(C43&lt;&gt;"",K43&lt;&gt;"Full Refresher"),'G2 FIL Reading Scoresheet'!$P45,"")</f>
        <v/>
      </c>
      <c r="P43" s="246" t="str">
        <f>'G2 FIL Reading Scoresheet'!$U45</f>
        <v/>
      </c>
      <c r="Q43" s="52" t="str">
        <f>CONCATENATE(IF(ISBLANK('G2 MT Reading Scoresheet'!V45),"",CONCATENATE("MT:",TRIM('G2 MT Reading Scoresheet'!V45)))," ",IF(ISBLANK('G2 FIL Reading Scoresheet'!V45),"",CONCATENATE("FIL:",TRIM('G2 FIL Reading Scoresheet'!V45))))</f>
        <v xml:space="preserve"> </v>
      </c>
    </row>
    <row r="44" spans="1:17" x14ac:dyDescent="0.3">
      <c r="A44" s="44">
        <v>36</v>
      </c>
      <c r="B44" s="45" t="str">
        <f>IF('G2 MT Reading Scoresheet'!B46&lt;&gt;"",'G2 MT Reading Scoresheet'!B46,"")</f>
        <v/>
      </c>
      <c r="C44" s="46" t="str">
        <f>IF('G2 MT Reading Scoresheet'!C46&lt;&gt;"",'G2 MT Reading Scoresheet'!C46,"")</f>
        <v/>
      </c>
      <c r="D44" s="47" t="str">
        <f>IF('G2 MT Reading Scoresheet'!D46&lt;&gt;"",'G2 MT Reading Scoresheet'!D46,"")</f>
        <v/>
      </c>
      <c r="E44" s="210" t="str">
        <f>'G2 MT Reading Scoresheet'!$J46</f>
        <v/>
      </c>
      <c r="F44" s="241" t="str">
        <f>IF(C44&lt;&gt;"",'G2 MT Reading Scoresheet'!$I46/30,"")</f>
        <v/>
      </c>
      <c r="G44" s="241" t="str">
        <f>IF(AND($C44&lt;&gt;"",$E44&lt;&gt;"Full Refresher"),'G2 MT Reading Scoresheet'!$Q46,"")</f>
        <v/>
      </c>
      <c r="H44" s="241" t="str">
        <f>IF(AND(C44&lt;&gt;"",E44&lt;&gt;"Full Refresher"),'G2 MT Reading Scoresheet'!$R46/6,"")</f>
        <v/>
      </c>
      <c r="I44" s="210" t="str">
        <f>IF(AND(D44&lt;&gt;"",F44&lt;&gt;"Full Refresher"),'G2 MT Reading Scoresheet'!$P46,"")</f>
        <v/>
      </c>
      <c r="J44" s="245" t="str">
        <f>'G2 MT Reading Scoresheet'!$U46</f>
        <v/>
      </c>
      <c r="K44" s="57" t="str">
        <f>'G2 FIL Reading Scoresheet'!$J46</f>
        <v/>
      </c>
      <c r="L44" s="243" t="str">
        <f>IF($C44&lt;&gt;"",'G2 FIL Reading Scoresheet'!$I46/30,"")</f>
        <v/>
      </c>
      <c r="M44" s="243" t="str">
        <f>IF(AND($C44&lt;&gt;"",$K44&lt;&gt;"Full Refresher"),'G2 FIL Reading Scoresheet'!$Q46,"")</f>
        <v/>
      </c>
      <c r="N44" s="243" t="str">
        <f>IF(AND($C44&lt;&gt;"",K44&lt;&gt;"Full Refresher"),'G2 FIL Reading Scoresheet'!$R46/6,"")</f>
        <v/>
      </c>
      <c r="O44" s="57" t="str">
        <f>IF(AND(C44&lt;&gt;"",K44&lt;&gt;"Full Refresher"),'G2 FIL Reading Scoresheet'!$P46,"")</f>
        <v/>
      </c>
      <c r="P44" s="246" t="str">
        <f>'G2 FIL Reading Scoresheet'!$U46</f>
        <v/>
      </c>
      <c r="Q44" s="48" t="str">
        <f>CONCATENATE(IF(ISBLANK('G2 MT Reading Scoresheet'!V46),"",CONCATENATE("MT:",TRIM('G2 MT Reading Scoresheet'!V46)))," ",IF(ISBLANK('G2 FIL Reading Scoresheet'!V46),"",CONCATENATE("FIL:",TRIM('G2 FIL Reading Scoresheet'!V46))))</f>
        <v xml:space="preserve"> </v>
      </c>
    </row>
    <row r="45" spans="1:17" x14ac:dyDescent="0.3">
      <c r="A45" s="43">
        <v>37</v>
      </c>
      <c r="B45" s="49" t="str">
        <f>IF('G2 MT Reading Scoresheet'!B47&lt;&gt;"",'G2 MT Reading Scoresheet'!B47,"")</f>
        <v/>
      </c>
      <c r="C45" s="50" t="str">
        <f>IF('G2 MT Reading Scoresheet'!C47&lt;&gt;"",'G2 MT Reading Scoresheet'!C47,"")</f>
        <v/>
      </c>
      <c r="D45" s="51" t="str">
        <f>IF('G2 MT Reading Scoresheet'!D47&lt;&gt;"",'G2 MT Reading Scoresheet'!D47,"")</f>
        <v/>
      </c>
      <c r="E45" s="210" t="str">
        <f>'G2 MT Reading Scoresheet'!$J47</f>
        <v/>
      </c>
      <c r="F45" s="241" t="str">
        <f>IF(C45&lt;&gt;"",'G2 MT Reading Scoresheet'!$I47/30,"")</f>
        <v/>
      </c>
      <c r="G45" s="241" t="str">
        <f>IF(AND($C45&lt;&gt;"",$E45&lt;&gt;"Full Refresher"),'G2 MT Reading Scoresheet'!$Q47,"")</f>
        <v/>
      </c>
      <c r="H45" s="241" t="str">
        <f>IF(AND(C45&lt;&gt;"",E45&lt;&gt;"Full Refresher"),'G2 MT Reading Scoresheet'!$R47/6,"")</f>
        <v/>
      </c>
      <c r="I45" s="210" t="str">
        <f>IF(AND(D45&lt;&gt;"",F45&lt;&gt;"Full Refresher"),'G2 MT Reading Scoresheet'!$P47,"")</f>
        <v/>
      </c>
      <c r="J45" s="245" t="str">
        <f>'G2 MT Reading Scoresheet'!$U47</f>
        <v/>
      </c>
      <c r="K45" s="57" t="str">
        <f>'G2 FIL Reading Scoresheet'!$J47</f>
        <v/>
      </c>
      <c r="L45" s="243" t="str">
        <f>IF($C45&lt;&gt;"",'G2 FIL Reading Scoresheet'!$I47/30,"")</f>
        <v/>
      </c>
      <c r="M45" s="243" t="str">
        <f>IF(AND($C45&lt;&gt;"",$K45&lt;&gt;"Full Refresher"),'G2 FIL Reading Scoresheet'!$Q47,"")</f>
        <v/>
      </c>
      <c r="N45" s="243" t="str">
        <f>IF(AND($C45&lt;&gt;"",K45&lt;&gt;"Full Refresher"),'G2 FIL Reading Scoresheet'!$R47/6,"")</f>
        <v/>
      </c>
      <c r="O45" s="57" t="str">
        <f>IF(AND(C45&lt;&gt;"",K45&lt;&gt;"Full Refresher"),'G2 FIL Reading Scoresheet'!$P47,"")</f>
        <v/>
      </c>
      <c r="P45" s="246" t="str">
        <f>'G2 FIL Reading Scoresheet'!$U47</f>
        <v/>
      </c>
      <c r="Q45" s="52" t="str">
        <f>CONCATENATE(IF(ISBLANK('G2 MT Reading Scoresheet'!V47),"",CONCATENATE("MT:",TRIM('G2 MT Reading Scoresheet'!V47)))," ",IF(ISBLANK('G2 FIL Reading Scoresheet'!V47),"",CONCATENATE("FIL:",TRIM('G2 FIL Reading Scoresheet'!V47))))</f>
        <v xml:space="preserve"> </v>
      </c>
    </row>
    <row r="46" spans="1:17" x14ac:dyDescent="0.3">
      <c r="A46" s="44">
        <v>38</v>
      </c>
      <c r="B46" s="45" t="str">
        <f>IF('G2 MT Reading Scoresheet'!B48&lt;&gt;"",'G2 MT Reading Scoresheet'!B48,"")</f>
        <v/>
      </c>
      <c r="C46" s="46" t="str">
        <f>IF('G2 MT Reading Scoresheet'!C48&lt;&gt;"",'G2 MT Reading Scoresheet'!C48,"")</f>
        <v/>
      </c>
      <c r="D46" s="47" t="str">
        <f>IF('G2 MT Reading Scoresheet'!D48&lt;&gt;"",'G2 MT Reading Scoresheet'!D48,"")</f>
        <v/>
      </c>
      <c r="E46" s="210" t="str">
        <f>'G2 MT Reading Scoresheet'!$J48</f>
        <v/>
      </c>
      <c r="F46" s="241" t="str">
        <f>IF(C46&lt;&gt;"",'G2 MT Reading Scoresheet'!$I48/30,"")</f>
        <v/>
      </c>
      <c r="G46" s="241" t="str">
        <f>IF(AND($C46&lt;&gt;"",$E46&lt;&gt;"Full Refresher"),'G2 MT Reading Scoresheet'!$Q48,"")</f>
        <v/>
      </c>
      <c r="H46" s="241" t="str">
        <f>IF(AND(C46&lt;&gt;"",E46&lt;&gt;"Full Refresher"),'G2 MT Reading Scoresheet'!$R48/6,"")</f>
        <v/>
      </c>
      <c r="I46" s="210" t="str">
        <f>IF(AND(D46&lt;&gt;"",F46&lt;&gt;"Full Refresher"),'G2 MT Reading Scoresheet'!$P48,"")</f>
        <v/>
      </c>
      <c r="J46" s="245" t="str">
        <f>'G2 MT Reading Scoresheet'!$U48</f>
        <v/>
      </c>
      <c r="K46" s="57" t="str">
        <f>'G2 FIL Reading Scoresheet'!$J48</f>
        <v/>
      </c>
      <c r="L46" s="243" t="str">
        <f>IF($C46&lt;&gt;"",'G2 FIL Reading Scoresheet'!$I48/30,"")</f>
        <v/>
      </c>
      <c r="M46" s="243" t="str">
        <f>IF(AND($C46&lt;&gt;"",$K46&lt;&gt;"Full Refresher"),'G2 FIL Reading Scoresheet'!$Q48,"")</f>
        <v/>
      </c>
      <c r="N46" s="243" t="str">
        <f>IF(AND($C46&lt;&gt;"",K46&lt;&gt;"Full Refresher"),'G2 FIL Reading Scoresheet'!$R48/6,"")</f>
        <v/>
      </c>
      <c r="O46" s="57" t="str">
        <f>IF(AND(C46&lt;&gt;"",K46&lt;&gt;"Full Refresher"),'G2 FIL Reading Scoresheet'!$P48,"")</f>
        <v/>
      </c>
      <c r="P46" s="246" t="str">
        <f>'G2 FIL Reading Scoresheet'!$U48</f>
        <v/>
      </c>
      <c r="Q46" s="48" t="str">
        <f>CONCATENATE(IF(ISBLANK('G2 MT Reading Scoresheet'!V48),"",CONCATENATE("MT:",TRIM('G2 MT Reading Scoresheet'!V48)))," ",IF(ISBLANK('G2 FIL Reading Scoresheet'!V48),"",CONCATENATE("FIL:",TRIM('G2 FIL Reading Scoresheet'!V48))))</f>
        <v xml:space="preserve"> </v>
      </c>
    </row>
    <row r="47" spans="1:17" x14ac:dyDescent="0.3">
      <c r="A47" s="43">
        <v>39</v>
      </c>
      <c r="B47" s="49" t="str">
        <f>IF('G2 MT Reading Scoresheet'!B49&lt;&gt;"",'G2 MT Reading Scoresheet'!B49,"")</f>
        <v/>
      </c>
      <c r="C47" s="50" t="str">
        <f>IF('G2 MT Reading Scoresheet'!C49&lt;&gt;"",'G2 MT Reading Scoresheet'!C49,"")</f>
        <v/>
      </c>
      <c r="D47" s="51" t="str">
        <f>IF('G2 MT Reading Scoresheet'!D49&lt;&gt;"",'G2 MT Reading Scoresheet'!D49,"")</f>
        <v/>
      </c>
      <c r="E47" s="210" t="str">
        <f>'G2 MT Reading Scoresheet'!$J49</f>
        <v/>
      </c>
      <c r="F47" s="241" t="str">
        <f>IF(C47&lt;&gt;"",'G2 MT Reading Scoresheet'!$I49/30,"")</f>
        <v/>
      </c>
      <c r="G47" s="241" t="str">
        <f>IF(AND($C47&lt;&gt;"",$E47&lt;&gt;"Full Refresher"),'G2 MT Reading Scoresheet'!$Q49,"")</f>
        <v/>
      </c>
      <c r="H47" s="241" t="str">
        <f>IF(AND(C47&lt;&gt;"",E47&lt;&gt;"Full Refresher"),'G2 MT Reading Scoresheet'!$R49/6,"")</f>
        <v/>
      </c>
      <c r="I47" s="210" t="str">
        <f>IF(AND(D47&lt;&gt;"",F47&lt;&gt;"Full Refresher"),'G2 MT Reading Scoresheet'!$P49,"")</f>
        <v/>
      </c>
      <c r="J47" s="245" t="str">
        <f>'G2 MT Reading Scoresheet'!$U49</f>
        <v/>
      </c>
      <c r="K47" s="57" t="str">
        <f>'G2 FIL Reading Scoresheet'!$J49</f>
        <v/>
      </c>
      <c r="L47" s="243" t="str">
        <f>IF($C47&lt;&gt;"",'G2 FIL Reading Scoresheet'!$I49/30,"")</f>
        <v/>
      </c>
      <c r="M47" s="243" t="str">
        <f>IF(AND($C47&lt;&gt;"",$K47&lt;&gt;"Full Refresher"),'G2 FIL Reading Scoresheet'!$Q49,"")</f>
        <v/>
      </c>
      <c r="N47" s="243" t="str">
        <f>IF(AND($C47&lt;&gt;"",K47&lt;&gt;"Full Refresher"),'G2 FIL Reading Scoresheet'!$R49/6,"")</f>
        <v/>
      </c>
      <c r="O47" s="57" t="str">
        <f>IF(AND(C47&lt;&gt;"",K47&lt;&gt;"Full Refresher"),'G2 FIL Reading Scoresheet'!$P49,"")</f>
        <v/>
      </c>
      <c r="P47" s="246" t="str">
        <f>'G2 FIL Reading Scoresheet'!$U49</f>
        <v/>
      </c>
      <c r="Q47" s="52" t="str">
        <f>CONCATENATE(IF(ISBLANK('G2 MT Reading Scoresheet'!V49),"",CONCATENATE("MT:",TRIM('G2 MT Reading Scoresheet'!V49)))," ",IF(ISBLANK('G2 FIL Reading Scoresheet'!V49),"",CONCATENATE("FIL:",TRIM('G2 FIL Reading Scoresheet'!V49))))</f>
        <v xml:space="preserve"> </v>
      </c>
    </row>
    <row r="48" spans="1:17" x14ac:dyDescent="0.3">
      <c r="A48" s="44">
        <v>40</v>
      </c>
      <c r="B48" s="45" t="str">
        <f>IF('G2 MT Reading Scoresheet'!B50&lt;&gt;"",'G2 MT Reading Scoresheet'!B50,"")</f>
        <v/>
      </c>
      <c r="C48" s="46" t="str">
        <f>IF('G2 MT Reading Scoresheet'!C50&lt;&gt;"",'G2 MT Reading Scoresheet'!C50,"")</f>
        <v/>
      </c>
      <c r="D48" s="47" t="str">
        <f>IF('G2 MT Reading Scoresheet'!D50&lt;&gt;"",'G2 MT Reading Scoresheet'!D50,"")</f>
        <v/>
      </c>
      <c r="E48" s="210" t="str">
        <f>'G2 MT Reading Scoresheet'!$J50</f>
        <v/>
      </c>
      <c r="F48" s="241" t="str">
        <f>IF(C48&lt;&gt;"",'G2 MT Reading Scoresheet'!$I50/30,"")</f>
        <v/>
      </c>
      <c r="G48" s="241" t="str">
        <f>IF(AND($C48&lt;&gt;"",$E48&lt;&gt;"Full Refresher"),'G2 MT Reading Scoresheet'!$Q50,"")</f>
        <v/>
      </c>
      <c r="H48" s="241" t="str">
        <f>IF(AND(C48&lt;&gt;"",E48&lt;&gt;"Full Refresher"),'G2 MT Reading Scoresheet'!$R50/6,"")</f>
        <v/>
      </c>
      <c r="I48" s="210" t="str">
        <f>IF(AND(D48&lt;&gt;"",F48&lt;&gt;"Full Refresher"),'G2 MT Reading Scoresheet'!$P50,"")</f>
        <v/>
      </c>
      <c r="J48" s="245" t="str">
        <f>'G2 MT Reading Scoresheet'!$U50</f>
        <v/>
      </c>
      <c r="K48" s="57" t="str">
        <f>'G2 FIL Reading Scoresheet'!$J50</f>
        <v/>
      </c>
      <c r="L48" s="243" t="str">
        <f>IF($C48&lt;&gt;"",'G2 FIL Reading Scoresheet'!$I50/30,"")</f>
        <v/>
      </c>
      <c r="M48" s="243" t="str">
        <f>IF(AND($C48&lt;&gt;"",$K48&lt;&gt;"Full Refresher"),'G2 FIL Reading Scoresheet'!$Q50,"")</f>
        <v/>
      </c>
      <c r="N48" s="243" t="str">
        <f>IF(AND($C48&lt;&gt;"",K48&lt;&gt;"Full Refresher"),'G2 FIL Reading Scoresheet'!$R50/6,"")</f>
        <v/>
      </c>
      <c r="O48" s="57" t="str">
        <f>IF(AND(C48&lt;&gt;"",K48&lt;&gt;"Full Refresher"),'G2 FIL Reading Scoresheet'!$P50,"")</f>
        <v/>
      </c>
      <c r="P48" s="246" t="str">
        <f>'G2 FIL Reading Scoresheet'!$U50</f>
        <v/>
      </c>
      <c r="Q48" s="48" t="str">
        <f>CONCATENATE(IF(ISBLANK('G2 MT Reading Scoresheet'!V50),"",CONCATENATE("MT:",TRIM('G2 MT Reading Scoresheet'!V50)))," ",IF(ISBLANK('G2 FIL Reading Scoresheet'!V50),"",CONCATENATE("FIL:",TRIM('G2 FIL Reading Scoresheet'!V50))))</f>
        <v xml:space="preserve"> </v>
      </c>
    </row>
    <row r="49" spans="1:17" x14ac:dyDescent="0.3">
      <c r="A49" s="43">
        <v>41</v>
      </c>
      <c r="B49" s="49" t="str">
        <f>IF('G2 MT Reading Scoresheet'!B51&lt;&gt;"",'G2 MT Reading Scoresheet'!B51,"")</f>
        <v/>
      </c>
      <c r="C49" s="50" t="str">
        <f>IF('G2 MT Reading Scoresheet'!C51&lt;&gt;"",'G2 MT Reading Scoresheet'!C51,"")</f>
        <v/>
      </c>
      <c r="D49" s="51" t="str">
        <f>IF('G2 MT Reading Scoresheet'!D51&lt;&gt;"",'G2 MT Reading Scoresheet'!D51,"")</f>
        <v/>
      </c>
      <c r="E49" s="210" t="str">
        <f>'G2 MT Reading Scoresheet'!$J51</f>
        <v/>
      </c>
      <c r="F49" s="241" t="str">
        <f>IF(C49&lt;&gt;"",'G2 MT Reading Scoresheet'!$I51/30,"")</f>
        <v/>
      </c>
      <c r="G49" s="241" t="str">
        <f>IF(AND($C49&lt;&gt;"",$E49&lt;&gt;"Full Refresher"),'G2 MT Reading Scoresheet'!$Q51,"")</f>
        <v/>
      </c>
      <c r="H49" s="241" t="str">
        <f>IF(AND(C49&lt;&gt;"",E49&lt;&gt;"Full Refresher"),'G2 MT Reading Scoresheet'!$R51/6,"")</f>
        <v/>
      </c>
      <c r="I49" s="210" t="str">
        <f>IF(AND(D49&lt;&gt;"",F49&lt;&gt;"Full Refresher"),'G2 MT Reading Scoresheet'!$P51,"")</f>
        <v/>
      </c>
      <c r="J49" s="245" t="str">
        <f>'G2 MT Reading Scoresheet'!$U51</f>
        <v/>
      </c>
      <c r="K49" s="57" t="str">
        <f>'G2 FIL Reading Scoresheet'!$J51</f>
        <v/>
      </c>
      <c r="L49" s="243" t="str">
        <f>IF($C49&lt;&gt;"",'G2 FIL Reading Scoresheet'!$I51/30,"")</f>
        <v/>
      </c>
      <c r="M49" s="243" t="str">
        <f>IF(AND($C49&lt;&gt;"",$K49&lt;&gt;"Full Refresher"),'G2 FIL Reading Scoresheet'!$Q51,"")</f>
        <v/>
      </c>
      <c r="N49" s="243" t="str">
        <f>IF(AND($C49&lt;&gt;"",K49&lt;&gt;"Full Refresher"),'G2 FIL Reading Scoresheet'!$R51/6,"")</f>
        <v/>
      </c>
      <c r="O49" s="57" t="str">
        <f>IF(AND(C49&lt;&gt;"",K49&lt;&gt;"Full Refresher"),'G2 FIL Reading Scoresheet'!$P51,"")</f>
        <v/>
      </c>
      <c r="P49" s="246" t="str">
        <f>'G2 FIL Reading Scoresheet'!$U51</f>
        <v/>
      </c>
      <c r="Q49" s="52" t="str">
        <f>CONCATENATE(IF(ISBLANK('G2 MT Reading Scoresheet'!V51),"",CONCATENATE("MT:",TRIM('G2 MT Reading Scoresheet'!V51)))," ",IF(ISBLANK('G2 FIL Reading Scoresheet'!V51),"",CONCATENATE("FIL:",TRIM('G2 FIL Reading Scoresheet'!V51))))</f>
        <v xml:space="preserve"> </v>
      </c>
    </row>
    <row r="50" spans="1:17" x14ac:dyDescent="0.3">
      <c r="A50" s="44">
        <v>42</v>
      </c>
      <c r="B50" s="45" t="str">
        <f>IF('G2 MT Reading Scoresheet'!B52&lt;&gt;"",'G2 MT Reading Scoresheet'!B52,"")</f>
        <v/>
      </c>
      <c r="C50" s="46" t="str">
        <f>IF('G2 MT Reading Scoresheet'!C52&lt;&gt;"",'G2 MT Reading Scoresheet'!C52,"")</f>
        <v/>
      </c>
      <c r="D50" s="47" t="str">
        <f>IF('G2 MT Reading Scoresheet'!D52&lt;&gt;"",'G2 MT Reading Scoresheet'!D52,"")</f>
        <v/>
      </c>
      <c r="E50" s="210" t="str">
        <f>'G2 MT Reading Scoresheet'!$J52</f>
        <v/>
      </c>
      <c r="F50" s="241" t="str">
        <f>IF(C50&lt;&gt;"",'G2 MT Reading Scoresheet'!$I52/30,"")</f>
        <v/>
      </c>
      <c r="G50" s="241" t="str">
        <f>IF(AND($C50&lt;&gt;"",$E50&lt;&gt;"Full Refresher"),'G2 MT Reading Scoresheet'!$Q52,"")</f>
        <v/>
      </c>
      <c r="H50" s="241" t="str">
        <f>IF(AND(C50&lt;&gt;"",E50&lt;&gt;"Full Refresher"),'G2 MT Reading Scoresheet'!$R52/6,"")</f>
        <v/>
      </c>
      <c r="I50" s="210" t="str">
        <f>IF(AND(D50&lt;&gt;"",F50&lt;&gt;"Full Refresher"),'G2 MT Reading Scoresheet'!$P52,"")</f>
        <v/>
      </c>
      <c r="J50" s="245" t="str">
        <f>'G2 MT Reading Scoresheet'!$U52</f>
        <v/>
      </c>
      <c r="K50" s="57" t="str">
        <f>'G2 FIL Reading Scoresheet'!$J52</f>
        <v/>
      </c>
      <c r="L50" s="243" t="str">
        <f>IF($C50&lt;&gt;"",'G2 FIL Reading Scoresheet'!$I52/30,"")</f>
        <v/>
      </c>
      <c r="M50" s="243" t="str">
        <f>IF(AND($C50&lt;&gt;"",$K50&lt;&gt;"Full Refresher"),'G2 FIL Reading Scoresheet'!$Q52,"")</f>
        <v/>
      </c>
      <c r="N50" s="243" t="str">
        <f>IF(AND($C50&lt;&gt;"",K50&lt;&gt;"Full Refresher"),'G2 FIL Reading Scoresheet'!$R52/6,"")</f>
        <v/>
      </c>
      <c r="O50" s="57" t="str">
        <f>IF(AND(C50&lt;&gt;"",K50&lt;&gt;"Full Refresher"),'G2 FIL Reading Scoresheet'!$P52,"")</f>
        <v/>
      </c>
      <c r="P50" s="246" t="str">
        <f>'G2 FIL Reading Scoresheet'!$U52</f>
        <v/>
      </c>
      <c r="Q50" s="48" t="str">
        <f>CONCATENATE(IF(ISBLANK('G2 MT Reading Scoresheet'!V52),"",CONCATENATE("MT:",TRIM('G2 MT Reading Scoresheet'!V52)))," ",IF(ISBLANK('G2 FIL Reading Scoresheet'!V52),"",CONCATENATE("FIL:",TRIM('G2 FIL Reading Scoresheet'!V52))))</f>
        <v xml:space="preserve"> </v>
      </c>
    </row>
    <row r="51" spans="1:17" x14ac:dyDescent="0.3">
      <c r="A51" s="43">
        <v>43</v>
      </c>
      <c r="B51" s="49" t="str">
        <f>IF('G2 MT Reading Scoresheet'!B53&lt;&gt;"",'G2 MT Reading Scoresheet'!B53,"")</f>
        <v/>
      </c>
      <c r="C51" s="50" t="str">
        <f>IF('G2 MT Reading Scoresheet'!C53&lt;&gt;"",'G2 MT Reading Scoresheet'!C53,"")</f>
        <v/>
      </c>
      <c r="D51" s="51" t="str">
        <f>IF('G2 MT Reading Scoresheet'!D53&lt;&gt;"",'G2 MT Reading Scoresheet'!D53,"")</f>
        <v/>
      </c>
      <c r="E51" s="210" t="str">
        <f>'G2 MT Reading Scoresheet'!$J53</f>
        <v/>
      </c>
      <c r="F51" s="241" t="str">
        <f>IF(C51&lt;&gt;"",'G2 MT Reading Scoresheet'!$I53/30,"")</f>
        <v/>
      </c>
      <c r="G51" s="241" t="str">
        <f>IF(AND($C51&lt;&gt;"",$E51&lt;&gt;"Full Refresher"),'G2 MT Reading Scoresheet'!$Q53,"")</f>
        <v/>
      </c>
      <c r="H51" s="241" t="str">
        <f>IF(AND(C51&lt;&gt;"",E51&lt;&gt;"Full Refresher"),'G2 MT Reading Scoresheet'!$R53/6,"")</f>
        <v/>
      </c>
      <c r="I51" s="210" t="str">
        <f>IF(AND(D51&lt;&gt;"",F51&lt;&gt;"Full Refresher"),'G2 MT Reading Scoresheet'!$P53,"")</f>
        <v/>
      </c>
      <c r="J51" s="245" t="str">
        <f>'G2 MT Reading Scoresheet'!$U53</f>
        <v/>
      </c>
      <c r="K51" s="57" t="str">
        <f>'G2 FIL Reading Scoresheet'!$J53</f>
        <v/>
      </c>
      <c r="L51" s="243" t="str">
        <f>IF($C51&lt;&gt;"",'G2 FIL Reading Scoresheet'!$I53/30,"")</f>
        <v/>
      </c>
      <c r="M51" s="243" t="str">
        <f>IF(AND($C51&lt;&gt;"",$K51&lt;&gt;"Full Refresher"),'G2 FIL Reading Scoresheet'!$Q53,"")</f>
        <v/>
      </c>
      <c r="N51" s="243" t="str">
        <f>IF(AND($C51&lt;&gt;"",K51&lt;&gt;"Full Refresher"),'G2 FIL Reading Scoresheet'!$R53/6,"")</f>
        <v/>
      </c>
      <c r="O51" s="57" t="str">
        <f>IF(AND(C51&lt;&gt;"",K51&lt;&gt;"Full Refresher"),'G2 FIL Reading Scoresheet'!$P53,"")</f>
        <v/>
      </c>
      <c r="P51" s="246" t="str">
        <f>'G2 FIL Reading Scoresheet'!$U53</f>
        <v/>
      </c>
      <c r="Q51" s="52" t="str">
        <f>CONCATENATE(IF(ISBLANK('G2 MT Reading Scoresheet'!V53),"",CONCATENATE("MT:",TRIM('G2 MT Reading Scoresheet'!V53)))," ",IF(ISBLANK('G2 FIL Reading Scoresheet'!V53),"",CONCATENATE("FIL:",TRIM('G2 FIL Reading Scoresheet'!V53))))</f>
        <v xml:space="preserve"> </v>
      </c>
    </row>
    <row r="52" spans="1:17" x14ac:dyDescent="0.3">
      <c r="A52" s="44">
        <v>44</v>
      </c>
      <c r="B52" s="45" t="str">
        <f>IF('G2 MT Reading Scoresheet'!B54&lt;&gt;"",'G2 MT Reading Scoresheet'!B54,"")</f>
        <v/>
      </c>
      <c r="C52" s="46" t="str">
        <f>IF('G2 MT Reading Scoresheet'!C54&lt;&gt;"",'G2 MT Reading Scoresheet'!C54,"")</f>
        <v/>
      </c>
      <c r="D52" s="47" t="str">
        <f>IF('G2 MT Reading Scoresheet'!D54&lt;&gt;"",'G2 MT Reading Scoresheet'!D54,"")</f>
        <v/>
      </c>
      <c r="E52" s="210" t="str">
        <f>'G2 MT Reading Scoresheet'!$J54</f>
        <v/>
      </c>
      <c r="F52" s="241" t="str">
        <f>IF(C52&lt;&gt;"",'G2 MT Reading Scoresheet'!$I54/30,"")</f>
        <v/>
      </c>
      <c r="G52" s="241" t="str">
        <f>IF(AND($C52&lt;&gt;"",$E52&lt;&gt;"Full Refresher"),'G2 MT Reading Scoresheet'!$Q54,"")</f>
        <v/>
      </c>
      <c r="H52" s="241" t="str">
        <f>IF(AND(C52&lt;&gt;"",E52&lt;&gt;"Full Refresher"),'G2 MT Reading Scoresheet'!$R54/6,"")</f>
        <v/>
      </c>
      <c r="I52" s="210" t="str">
        <f>IF(AND(D52&lt;&gt;"",F52&lt;&gt;"Full Refresher"),'G2 MT Reading Scoresheet'!$P54,"")</f>
        <v/>
      </c>
      <c r="J52" s="245" t="str">
        <f>'G2 MT Reading Scoresheet'!$U54</f>
        <v/>
      </c>
      <c r="K52" s="57" t="str">
        <f>'G2 FIL Reading Scoresheet'!$J54</f>
        <v/>
      </c>
      <c r="L52" s="243" t="str">
        <f>IF($C52&lt;&gt;"",'G2 FIL Reading Scoresheet'!$I54/30,"")</f>
        <v/>
      </c>
      <c r="M52" s="243" t="str">
        <f>IF(AND($C52&lt;&gt;"",$K52&lt;&gt;"Full Refresher"),'G2 FIL Reading Scoresheet'!$Q54,"")</f>
        <v/>
      </c>
      <c r="N52" s="243" t="str">
        <f>IF(AND($C52&lt;&gt;"",K52&lt;&gt;"Full Refresher"),'G2 FIL Reading Scoresheet'!$R54/6,"")</f>
        <v/>
      </c>
      <c r="O52" s="57" t="str">
        <f>IF(AND(C52&lt;&gt;"",K52&lt;&gt;"Full Refresher"),'G2 FIL Reading Scoresheet'!$P54,"")</f>
        <v/>
      </c>
      <c r="P52" s="246" t="str">
        <f>'G2 FIL Reading Scoresheet'!$U54</f>
        <v/>
      </c>
      <c r="Q52" s="48" t="str">
        <f>CONCATENATE(IF(ISBLANK('G2 MT Reading Scoresheet'!V54),"",CONCATENATE("MT:",TRIM('G2 MT Reading Scoresheet'!V54)))," ",IF(ISBLANK('G2 FIL Reading Scoresheet'!V54),"",CONCATENATE("FIL:",TRIM('G2 FIL Reading Scoresheet'!V54))))</f>
        <v xml:space="preserve"> </v>
      </c>
    </row>
    <row r="53" spans="1:17" x14ac:dyDescent="0.3">
      <c r="A53" s="43">
        <v>45</v>
      </c>
      <c r="B53" s="49" t="str">
        <f>IF('G2 MT Reading Scoresheet'!B55&lt;&gt;"",'G2 MT Reading Scoresheet'!B55,"")</f>
        <v/>
      </c>
      <c r="C53" s="50" t="str">
        <f>IF('G2 MT Reading Scoresheet'!C55&lt;&gt;"",'G2 MT Reading Scoresheet'!C55,"")</f>
        <v/>
      </c>
      <c r="D53" s="51" t="str">
        <f>IF('G2 MT Reading Scoresheet'!D55&lt;&gt;"",'G2 MT Reading Scoresheet'!D55,"")</f>
        <v/>
      </c>
      <c r="E53" s="210" t="str">
        <f>'G2 MT Reading Scoresheet'!$J55</f>
        <v/>
      </c>
      <c r="F53" s="241" t="str">
        <f>IF(C53&lt;&gt;"",'G2 MT Reading Scoresheet'!$I55/30,"")</f>
        <v/>
      </c>
      <c r="G53" s="241" t="str">
        <f>IF(AND($C53&lt;&gt;"",$E53&lt;&gt;"Full Refresher"),'G2 MT Reading Scoresheet'!$Q55,"")</f>
        <v/>
      </c>
      <c r="H53" s="241" t="str">
        <f>IF(AND(C53&lt;&gt;"",E53&lt;&gt;"Full Refresher"),'G2 MT Reading Scoresheet'!$R55/6,"")</f>
        <v/>
      </c>
      <c r="I53" s="210" t="str">
        <f>IF(AND(D53&lt;&gt;"",F53&lt;&gt;"Full Refresher"),'G2 MT Reading Scoresheet'!$P55,"")</f>
        <v/>
      </c>
      <c r="J53" s="245" t="str">
        <f>'G2 MT Reading Scoresheet'!$U55</f>
        <v/>
      </c>
      <c r="K53" s="57" t="str">
        <f>'G2 FIL Reading Scoresheet'!$J55</f>
        <v/>
      </c>
      <c r="L53" s="243" t="str">
        <f>IF($C53&lt;&gt;"",'G2 FIL Reading Scoresheet'!$I55/30,"")</f>
        <v/>
      </c>
      <c r="M53" s="243" t="str">
        <f>IF(AND($C53&lt;&gt;"",$K53&lt;&gt;"Full Refresher"),'G2 FIL Reading Scoresheet'!$Q55,"")</f>
        <v/>
      </c>
      <c r="N53" s="243" t="str">
        <f>IF(AND($C53&lt;&gt;"",K53&lt;&gt;"Full Refresher"),'G2 FIL Reading Scoresheet'!$R55/6,"")</f>
        <v/>
      </c>
      <c r="O53" s="57" t="str">
        <f>IF(AND(C53&lt;&gt;"",K53&lt;&gt;"Full Refresher"),'G2 FIL Reading Scoresheet'!$P55,"")</f>
        <v/>
      </c>
      <c r="P53" s="246" t="str">
        <f>'G2 FIL Reading Scoresheet'!$U55</f>
        <v/>
      </c>
      <c r="Q53" s="52" t="str">
        <f>CONCATENATE(IF(ISBLANK('G2 MT Reading Scoresheet'!V55),"",CONCATENATE("MT:",TRIM('G2 MT Reading Scoresheet'!V55)))," ",IF(ISBLANK('G2 FIL Reading Scoresheet'!V55),"",CONCATENATE("FIL:",TRIM('G2 FIL Reading Scoresheet'!V55))))</f>
        <v xml:space="preserve"> </v>
      </c>
    </row>
    <row r="54" spans="1:17" x14ac:dyDescent="0.3">
      <c r="A54" s="44">
        <v>46</v>
      </c>
      <c r="B54" s="45" t="str">
        <f>IF('G2 MT Reading Scoresheet'!B56&lt;&gt;"",'G2 MT Reading Scoresheet'!B56,"")</f>
        <v/>
      </c>
      <c r="C54" s="46" t="str">
        <f>IF('G2 MT Reading Scoresheet'!C56&lt;&gt;"",'G2 MT Reading Scoresheet'!C56,"")</f>
        <v/>
      </c>
      <c r="D54" s="47" t="str">
        <f>IF('G2 MT Reading Scoresheet'!D56&lt;&gt;"",'G2 MT Reading Scoresheet'!D56,"")</f>
        <v/>
      </c>
      <c r="E54" s="210" t="str">
        <f>'G2 MT Reading Scoresheet'!$J56</f>
        <v/>
      </c>
      <c r="F54" s="241" t="str">
        <f>IF(C54&lt;&gt;"",'G2 MT Reading Scoresheet'!$I56/30,"")</f>
        <v/>
      </c>
      <c r="G54" s="241" t="str">
        <f>IF(AND($C54&lt;&gt;"",$E54&lt;&gt;"Full Refresher"),'G2 MT Reading Scoresheet'!$Q56,"")</f>
        <v/>
      </c>
      <c r="H54" s="241" t="str">
        <f>IF(AND(C54&lt;&gt;"",E54&lt;&gt;"Full Refresher"),'G2 MT Reading Scoresheet'!$R56/6,"")</f>
        <v/>
      </c>
      <c r="I54" s="210" t="str">
        <f>IF(AND(D54&lt;&gt;"",F54&lt;&gt;"Full Refresher"),'G2 MT Reading Scoresheet'!$P56,"")</f>
        <v/>
      </c>
      <c r="J54" s="245" t="str">
        <f>'G2 MT Reading Scoresheet'!$U56</f>
        <v/>
      </c>
      <c r="K54" s="57" t="str">
        <f>'G2 FIL Reading Scoresheet'!$J56</f>
        <v/>
      </c>
      <c r="L54" s="243" t="str">
        <f>IF($C54&lt;&gt;"",'G2 FIL Reading Scoresheet'!$I56/30,"")</f>
        <v/>
      </c>
      <c r="M54" s="243" t="str">
        <f>IF(AND($C54&lt;&gt;"",$K54&lt;&gt;"Full Refresher"),'G2 FIL Reading Scoresheet'!$Q56,"")</f>
        <v/>
      </c>
      <c r="N54" s="243" t="str">
        <f>IF(AND($C54&lt;&gt;"",K54&lt;&gt;"Full Refresher"),'G2 FIL Reading Scoresheet'!$R56/6,"")</f>
        <v/>
      </c>
      <c r="O54" s="57" t="str">
        <f>IF(AND(C54&lt;&gt;"",K54&lt;&gt;"Full Refresher"),'G2 FIL Reading Scoresheet'!$P56,"")</f>
        <v/>
      </c>
      <c r="P54" s="246" t="str">
        <f>'G2 FIL Reading Scoresheet'!$U56</f>
        <v/>
      </c>
      <c r="Q54" s="48" t="str">
        <f>CONCATENATE(IF(ISBLANK('G2 MT Reading Scoresheet'!V56),"",CONCATENATE("MT:",TRIM('G2 MT Reading Scoresheet'!V56)))," ",IF(ISBLANK('G2 FIL Reading Scoresheet'!V56),"",CONCATENATE("FIL:",TRIM('G2 FIL Reading Scoresheet'!V56))))</f>
        <v xml:space="preserve"> </v>
      </c>
    </row>
    <row r="55" spans="1:17" x14ac:dyDescent="0.3">
      <c r="A55" s="43">
        <v>47</v>
      </c>
      <c r="B55" s="49" t="str">
        <f>IF('G2 MT Reading Scoresheet'!B57&lt;&gt;"",'G2 MT Reading Scoresheet'!B57,"")</f>
        <v/>
      </c>
      <c r="C55" s="50" t="str">
        <f>IF('G2 MT Reading Scoresheet'!C57&lt;&gt;"",'G2 MT Reading Scoresheet'!C57,"")</f>
        <v/>
      </c>
      <c r="D55" s="51" t="str">
        <f>IF('G2 MT Reading Scoresheet'!D57&lt;&gt;"",'G2 MT Reading Scoresheet'!D57,"")</f>
        <v/>
      </c>
      <c r="E55" s="210" t="str">
        <f>'G2 MT Reading Scoresheet'!$J57</f>
        <v/>
      </c>
      <c r="F55" s="241" t="str">
        <f>IF(C55&lt;&gt;"",'G2 MT Reading Scoresheet'!$I57/30,"")</f>
        <v/>
      </c>
      <c r="G55" s="241" t="str">
        <f>IF(AND($C55&lt;&gt;"",$E55&lt;&gt;"Full Refresher"),'G2 MT Reading Scoresheet'!$Q57,"")</f>
        <v/>
      </c>
      <c r="H55" s="241" t="str">
        <f>IF(AND(C55&lt;&gt;"",E55&lt;&gt;"Full Refresher"),'G2 MT Reading Scoresheet'!$R57/6,"")</f>
        <v/>
      </c>
      <c r="I55" s="210" t="str">
        <f>IF(AND(D55&lt;&gt;"",F55&lt;&gt;"Full Refresher"),'G2 MT Reading Scoresheet'!$P57,"")</f>
        <v/>
      </c>
      <c r="J55" s="245" t="str">
        <f>'G2 MT Reading Scoresheet'!$U57</f>
        <v/>
      </c>
      <c r="K55" s="57" t="str">
        <f>'G2 FIL Reading Scoresheet'!$J57</f>
        <v/>
      </c>
      <c r="L55" s="243" t="str">
        <f>IF($C55&lt;&gt;"",'G2 FIL Reading Scoresheet'!$I57/30,"")</f>
        <v/>
      </c>
      <c r="M55" s="243" t="str">
        <f>IF(AND($C55&lt;&gt;"",$K55&lt;&gt;"Full Refresher"),'G2 FIL Reading Scoresheet'!$Q57,"")</f>
        <v/>
      </c>
      <c r="N55" s="243" t="str">
        <f>IF(AND($C55&lt;&gt;"",K55&lt;&gt;"Full Refresher"),'G2 FIL Reading Scoresheet'!$R57/6,"")</f>
        <v/>
      </c>
      <c r="O55" s="57" t="str">
        <f>IF(AND(C55&lt;&gt;"",K55&lt;&gt;"Full Refresher"),'G2 FIL Reading Scoresheet'!$P57,"")</f>
        <v/>
      </c>
      <c r="P55" s="246" t="str">
        <f>'G2 FIL Reading Scoresheet'!$U57</f>
        <v/>
      </c>
      <c r="Q55" s="52" t="str">
        <f>CONCATENATE(IF(ISBLANK('G2 MT Reading Scoresheet'!V57),"",CONCATENATE("MT:",TRIM('G2 MT Reading Scoresheet'!V57)))," ",IF(ISBLANK('G2 FIL Reading Scoresheet'!V57),"",CONCATENATE("FIL:",TRIM('G2 FIL Reading Scoresheet'!V57))))</f>
        <v xml:space="preserve"> </v>
      </c>
    </row>
    <row r="56" spans="1:17" x14ac:dyDescent="0.3">
      <c r="A56" s="44">
        <v>48</v>
      </c>
      <c r="B56" s="45" t="str">
        <f>IF('G2 MT Reading Scoresheet'!B58&lt;&gt;"",'G2 MT Reading Scoresheet'!B58,"")</f>
        <v/>
      </c>
      <c r="C56" s="46" t="str">
        <f>IF('G2 MT Reading Scoresheet'!C58&lt;&gt;"",'G2 MT Reading Scoresheet'!C58,"")</f>
        <v/>
      </c>
      <c r="D56" s="47" t="str">
        <f>IF('G2 MT Reading Scoresheet'!D58&lt;&gt;"",'G2 MT Reading Scoresheet'!D58,"")</f>
        <v/>
      </c>
      <c r="E56" s="210" t="str">
        <f>'G2 MT Reading Scoresheet'!$J58</f>
        <v/>
      </c>
      <c r="F56" s="241" t="str">
        <f>IF(C56&lt;&gt;"",'G2 MT Reading Scoresheet'!$I58/30,"")</f>
        <v/>
      </c>
      <c r="G56" s="241" t="str">
        <f>IF(AND($C56&lt;&gt;"",$E56&lt;&gt;"Full Refresher"),'G2 MT Reading Scoresheet'!$Q58,"")</f>
        <v/>
      </c>
      <c r="H56" s="241" t="str">
        <f>IF(AND(C56&lt;&gt;"",E56&lt;&gt;"Full Refresher"),'G2 MT Reading Scoresheet'!$R58/6,"")</f>
        <v/>
      </c>
      <c r="I56" s="210" t="str">
        <f>IF(AND(D56&lt;&gt;"",F56&lt;&gt;"Full Refresher"),'G2 MT Reading Scoresheet'!$P58,"")</f>
        <v/>
      </c>
      <c r="J56" s="245" t="str">
        <f>'G2 MT Reading Scoresheet'!$U58</f>
        <v/>
      </c>
      <c r="K56" s="57" t="str">
        <f>'G2 FIL Reading Scoresheet'!$J58</f>
        <v/>
      </c>
      <c r="L56" s="243" t="str">
        <f>IF($C56&lt;&gt;"",'G2 FIL Reading Scoresheet'!$I58/30,"")</f>
        <v/>
      </c>
      <c r="M56" s="243" t="str">
        <f>IF(AND($C56&lt;&gt;"",$K56&lt;&gt;"Full Refresher"),'G2 FIL Reading Scoresheet'!$Q58,"")</f>
        <v/>
      </c>
      <c r="N56" s="243" t="str">
        <f>IF(AND($C56&lt;&gt;"",K56&lt;&gt;"Full Refresher"),'G2 FIL Reading Scoresheet'!$R58/6,"")</f>
        <v/>
      </c>
      <c r="O56" s="57" t="str">
        <f>IF(AND(C56&lt;&gt;"",K56&lt;&gt;"Full Refresher"),'G2 FIL Reading Scoresheet'!$P58,"")</f>
        <v/>
      </c>
      <c r="P56" s="246" t="str">
        <f>'G2 FIL Reading Scoresheet'!$U58</f>
        <v/>
      </c>
      <c r="Q56" s="48" t="str">
        <f>CONCATENATE(IF(ISBLANK('G2 MT Reading Scoresheet'!V58),"",CONCATENATE("MT:",TRIM('G2 MT Reading Scoresheet'!V58)))," ",IF(ISBLANK('G2 FIL Reading Scoresheet'!V58),"",CONCATENATE("FIL:",TRIM('G2 FIL Reading Scoresheet'!V58))))</f>
        <v xml:space="preserve"> </v>
      </c>
    </row>
    <row r="57" spans="1:17" x14ac:dyDescent="0.3">
      <c r="A57" s="43">
        <v>49</v>
      </c>
      <c r="B57" s="49" t="str">
        <f>IF('G2 MT Reading Scoresheet'!B59&lt;&gt;"",'G2 MT Reading Scoresheet'!B59,"")</f>
        <v/>
      </c>
      <c r="C57" s="50" t="str">
        <f>IF('G2 MT Reading Scoresheet'!C59&lt;&gt;"",'G2 MT Reading Scoresheet'!C59,"")</f>
        <v/>
      </c>
      <c r="D57" s="51" t="str">
        <f>IF('G2 MT Reading Scoresheet'!D59&lt;&gt;"",'G2 MT Reading Scoresheet'!D59,"")</f>
        <v/>
      </c>
      <c r="E57" s="210" t="str">
        <f>'G2 MT Reading Scoresheet'!$J59</f>
        <v/>
      </c>
      <c r="F57" s="241" t="str">
        <f>IF(C57&lt;&gt;"",'G2 MT Reading Scoresheet'!$I59/30,"")</f>
        <v/>
      </c>
      <c r="G57" s="241" t="str">
        <f>IF(AND($C57&lt;&gt;"",$E57&lt;&gt;"Full Refresher"),'G2 MT Reading Scoresheet'!$Q59,"")</f>
        <v/>
      </c>
      <c r="H57" s="241" t="str">
        <f>IF(AND(C57&lt;&gt;"",E57&lt;&gt;"Full Refresher"),'G2 MT Reading Scoresheet'!$R59/6,"")</f>
        <v/>
      </c>
      <c r="I57" s="210" t="str">
        <f>IF(AND(D57&lt;&gt;"",F57&lt;&gt;"Full Refresher"),'G2 MT Reading Scoresheet'!$P59,"")</f>
        <v/>
      </c>
      <c r="J57" s="245" t="str">
        <f>'G2 MT Reading Scoresheet'!$U59</f>
        <v/>
      </c>
      <c r="K57" s="57" t="str">
        <f>'G2 FIL Reading Scoresheet'!$J59</f>
        <v/>
      </c>
      <c r="L57" s="243" t="str">
        <f>IF($C57&lt;&gt;"",'G2 FIL Reading Scoresheet'!$I59/30,"")</f>
        <v/>
      </c>
      <c r="M57" s="243" t="str">
        <f>IF(AND($C57&lt;&gt;"",$K57&lt;&gt;"Full Refresher"),'G2 FIL Reading Scoresheet'!$Q59,"")</f>
        <v/>
      </c>
      <c r="N57" s="243" t="str">
        <f>IF(AND($C57&lt;&gt;"",K57&lt;&gt;"Full Refresher"),'G2 FIL Reading Scoresheet'!$R59/6,"")</f>
        <v/>
      </c>
      <c r="O57" s="57" t="str">
        <f>IF(AND(C57&lt;&gt;"",K57&lt;&gt;"Full Refresher"),'G2 FIL Reading Scoresheet'!$P59,"")</f>
        <v/>
      </c>
      <c r="P57" s="246" t="str">
        <f>'G2 FIL Reading Scoresheet'!$U59</f>
        <v/>
      </c>
      <c r="Q57" s="52" t="str">
        <f>CONCATENATE(IF(ISBLANK('G2 MT Reading Scoresheet'!V59),"",CONCATENATE("MT:",TRIM('G2 MT Reading Scoresheet'!V59)))," ",IF(ISBLANK('G2 FIL Reading Scoresheet'!V59),"",CONCATENATE("FIL:",TRIM('G2 FIL Reading Scoresheet'!V59))))</f>
        <v xml:space="preserve"> </v>
      </c>
    </row>
    <row r="58" spans="1:17" x14ac:dyDescent="0.3">
      <c r="A58" s="44">
        <v>50</v>
      </c>
      <c r="B58" s="45" t="str">
        <f>IF('G2 MT Reading Scoresheet'!B60&lt;&gt;"",'G2 MT Reading Scoresheet'!B60,"")</f>
        <v/>
      </c>
      <c r="C58" s="46" t="str">
        <f>IF('G2 MT Reading Scoresheet'!C60&lt;&gt;"",'G2 MT Reading Scoresheet'!C60,"")</f>
        <v/>
      </c>
      <c r="D58" s="47" t="str">
        <f>IF('G2 MT Reading Scoresheet'!D60&lt;&gt;"",'G2 MT Reading Scoresheet'!D60,"")</f>
        <v/>
      </c>
      <c r="E58" s="210" t="str">
        <f>'G2 MT Reading Scoresheet'!$J60</f>
        <v/>
      </c>
      <c r="F58" s="241" t="str">
        <f>IF(C58&lt;&gt;"",'G2 MT Reading Scoresheet'!$I60/30,"")</f>
        <v/>
      </c>
      <c r="G58" s="241" t="str">
        <f>IF(AND($C58&lt;&gt;"",$E58&lt;&gt;"Full Refresher"),'G2 MT Reading Scoresheet'!$Q60,"")</f>
        <v/>
      </c>
      <c r="H58" s="241" t="str">
        <f>IF(AND(C58&lt;&gt;"",E58&lt;&gt;"Full Refresher"),'G2 MT Reading Scoresheet'!$R60/6,"")</f>
        <v/>
      </c>
      <c r="I58" s="210" t="str">
        <f>IF(AND(D58&lt;&gt;"",F58&lt;&gt;"Full Refresher"),'G2 MT Reading Scoresheet'!$P60,"")</f>
        <v/>
      </c>
      <c r="J58" s="245" t="str">
        <f>'G2 MT Reading Scoresheet'!$U60</f>
        <v/>
      </c>
      <c r="K58" s="57" t="str">
        <f>'G2 FIL Reading Scoresheet'!$J60</f>
        <v/>
      </c>
      <c r="L58" s="243" t="str">
        <f>IF($C58&lt;&gt;"",'G2 FIL Reading Scoresheet'!$I60/30,"")</f>
        <v/>
      </c>
      <c r="M58" s="243" t="str">
        <f>IF(AND($C58&lt;&gt;"",$K58&lt;&gt;"Full Refresher"),'G2 FIL Reading Scoresheet'!$Q60,"")</f>
        <v/>
      </c>
      <c r="N58" s="243" t="str">
        <f>IF(AND($C58&lt;&gt;"",K58&lt;&gt;"Full Refresher"),'G2 FIL Reading Scoresheet'!$R60/6,"")</f>
        <v/>
      </c>
      <c r="O58" s="57" t="str">
        <f>IF(AND(C58&lt;&gt;"",K58&lt;&gt;"Full Refresher"),'G2 FIL Reading Scoresheet'!$P60,"")</f>
        <v/>
      </c>
      <c r="P58" s="246" t="str">
        <f>'G2 FIL Reading Scoresheet'!$U60</f>
        <v/>
      </c>
      <c r="Q58" s="48" t="str">
        <f>CONCATENATE(IF(ISBLANK('G2 MT Reading Scoresheet'!V60),"",CONCATENATE("MT:",TRIM('G2 MT Reading Scoresheet'!V60)))," ",IF(ISBLANK('G2 FIL Reading Scoresheet'!V60),"",CONCATENATE("FIL:",TRIM('G2 FIL Reading Scoresheet'!V60))))</f>
        <v xml:space="preserve"> </v>
      </c>
    </row>
    <row r="59" spans="1:17" x14ac:dyDescent="0.3">
      <c r="A59" s="43">
        <v>51</v>
      </c>
      <c r="B59" s="49" t="str">
        <f>IF('G2 MT Reading Scoresheet'!B61&lt;&gt;"",'G2 MT Reading Scoresheet'!B61,"")</f>
        <v/>
      </c>
      <c r="C59" s="50" t="str">
        <f>IF('G2 MT Reading Scoresheet'!C61&lt;&gt;"",'G2 MT Reading Scoresheet'!C61,"")</f>
        <v/>
      </c>
      <c r="D59" s="51" t="str">
        <f>IF('G2 MT Reading Scoresheet'!D61&lt;&gt;"",'G2 MT Reading Scoresheet'!D61,"")</f>
        <v/>
      </c>
      <c r="E59" s="210" t="str">
        <f>'G2 MT Reading Scoresheet'!$J61</f>
        <v/>
      </c>
      <c r="F59" s="241" t="str">
        <f>IF(C59&lt;&gt;"",'G2 MT Reading Scoresheet'!$I61/30,"")</f>
        <v/>
      </c>
      <c r="G59" s="241" t="str">
        <f>IF(AND($C59&lt;&gt;"",$E59&lt;&gt;"Full Refresher"),'G2 MT Reading Scoresheet'!$Q61,"")</f>
        <v/>
      </c>
      <c r="H59" s="241" t="str">
        <f>IF(AND(C59&lt;&gt;"",E59&lt;&gt;"Full Refresher"),'G2 MT Reading Scoresheet'!$R61/6,"")</f>
        <v/>
      </c>
      <c r="I59" s="210" t="str">
        <f>IF(AND(D59&lt;&gt;"",F59&lt;&gt;"Full Refresher"),'G2 MT Reading Scoresheet'!$P61,"")</f>
        <v/>
      </c>
      <c r="J59" s="245" t="str">
        <f>'G2 MT Reading Scoresheet'!$U61</f>
        <v/>
      </c>
      <c r="K59" s="57" t="str">
        <f>'G2 FIL Reading Scoresheet'!$J61</f>
        <v/>
      </c>
      <c r="L59" s="243" t="str">
        <f>IF($C59&lt;&gt;"",'G2 FIL Reading Scoresheet'!$I61/30,"")</f>
        <v/>
      </c>
      <c r="M59" s="243" t="str">
        <f>IF(AND($C59&lt;&gt;"",$K59&lt;&gt;"Full Refresher"),'G2 FIL Reading Scoresheet'!$Q61,"")</f>
        <v/>
      </c>
      <c r="N59" s="243" t="str">
        <f>IF(AND($C59&lt;&gt;"",K59&lt;&gt;"Full Refresher"),'G2 FIL Reading Scoresheet'!$R61/6,"")</f>
        <v/>
      </c>
      <c r="O59" s="57" t="str">
        <f>IF(AND(C59&lt;&gt;"",K59&lt;&gt;"Full Refresher"),'G2 FIL Reading Scoresheet'!$P61,"")</f>
        <v/>
      </c>
      <c r="P59" s="246" t="str">
        <f>'G2 FIL Reading Scoresheet'!$U61</f>
        <v/>
      </c>
      <c r="Q59" s="52" t="str">
        <f>CONCATENATE(IF(ISBLANK('G2 MT Reading Scoresheet'!V61),"",CONCATENATE("MT:",TRIM('G2 MT Reading Scoresheet'!V61)))," ",IF(ISBLANK('G2 FIL Reading Scoresheet'!V61),"",CONCATENATE("FIL:",TRIM('G2 FIL Reading Scoresheet'!V61))))</f>
        <v xml:space="preserve"> </v>
      </c>
    </row>
    <row r="60" spans="1:17" x14ac:dyDescent="0.3">
      <c r="A60" s="44">
        <v>52</v>
      </c>
      <c r="B60" s="45" t="str">
        <f>IF('G2 MT Reading Scoresheet'!B62&lt;&gt;"",'G2 MT Reading Scoresheet'!B62,"")</f>
        <v/>
      </c>
      <c r="C60" s="46" t="str">
        <f>IF('G2 MT Reading Scoresheet'!C62&lt;&gt;"",'G2 MT Reading Scoresheet'!C62,"")</f>
        <v/>
      </c>
      <c r="D60" s="47" t="str">
        <f>IF('G2 MT Reading Scoresheet'!D62&lt;&gt;"",'G2 MT Reading Scoresheet'!D62,"")</f>
        <v/>
      </c>
      <c r="E60" s="210" t="str">
        <f>'G2 MT Reading Scoresheet'!$J62</f>
        <v/>
      </c>
      <c r="F60" s="241" t="str">
        <f>IF(C60&lt;&gt;"",'G2 MT Reading Scoresheet'!$I62/30,"")</f>
        <v/>
      </c>
      <c r="G60" s="241" t="str">
        <f>IF(AND($C60&lt;&gt;"",$E60&lt;&gt;"Full Refresher"),'G2 MT Reading Scoresheet'!$Q62,"")</f>
        <v/>
      </c>
      <c r="H60" s="241" t="str">
        <f>IF(AND(C60&lt;&gt;"",E60&lt;&gt;"Full Refresher"),'G2 MT Reading Scoresheet'!$R62/6,"")</f>
        <v/>
      </c>
      <c r="I60" s="210" t="str">
        <f>IF(AND(D60&lt;&gt;"",F60&lt;&gt;"Full Refresher"),'G2 MT Reading Scoresheet'!$P62,"")</f>
        <v/>
      </c>
      <c r="J60" s="245" t="str">
        <f>'G2 MT Reading Scoresheet'!$U62</f>
        <v/>
      </c>
      <c r="K60" s="57" t="str">
        <f>'G2 FIL Reading Scoresheet'!$J62</f>
        <v/>
      </c>
      <c r="L60" s="243" t="str">
        <f>IF($C60&lt;&gt;"",'G2 FIL Reading Scoresheet'!$I62/30,"")</f>
        <v/>
      </c>
      <c r="M60" s="243" t="str">
        <f>IF(AND($C60&lt;&gt;"",$K60&lt;&gt;"Full Refresher"),'G2 FIL Reading Scoresheet'!$Q62,"")</f>
        <v/>
      </c>
      <c r="N60" s="243" t="str">
        <f>IF(AND($C60&lt;&gt;"",K60&lt;&gt;"Full Refresher"),'G2 FIL Reading Scoresheet'!$R62/6,"")</f>
        <v/>
      </c>
      <c r="O60" s="57" t="str">
        <f>IF(AND(C60&lt;&gt;"",K60&lt;&gt;"Full Refresher"),'G2 FIL Reading Scoresheet'!$P62,"")</f>
        <v/>
      </c>
      <c r="P60" s="246" t="str">
        <f>'G2 FIL Reading Scoresheet'!$U62</f>
        <v/>
      </c>
      <c r="Q60" s="48" t="str">
        <f>CONCATENATE(IF(ISBLANK('G2 MT Reading Scoresheet'!V62),"",CONCATENATE("MT:",TRIM('G2 MT Reading Scoresheet'!V62)))," ",IF(ISBLANK('G2 FIL Reading Scoresheet'!V62),"",CONCATENATE("FIL:",TRIM('G2 FIL Reading Scoresheet'!V62))))</f>
        <v xml:space="preserve"> </v>
      </c>
    </row>
    <row r="61" spans="1:17" x14ac:dyDescent="0.3">
      <c r="A61" s="43">
        <v>53</v>
      </c>
      <c r="B61" s="49" t="str">
        <f>IF('G2 MT Reading Scoresheet'!B63&lt;&gt;"",'G2 MT Reading Scoresheet'!B63,"")</f>
        <v/>
      </c>
      <c r="C61" s="50" t="str">
        <f>IF('G2 MT Reading Scoresheet'!C63&lt;&gt;"",'G2 MT Reading Scoresheet'!C63,"")</f>
        <v/>
      </c>
      <c r="D61" s="51" t="str">
        <f>IF('G2 MT Reading Scoresheet'!D63&lt;&gt;"",'G2 MT Reading Scoresheet'!D63,"")</f>
        <v/>
      </c>
      <c r="E61" s="210" t="str">
        <f>'G2 MT Reading Scoresheet'!$J63</f>
        <v/>
      </c>
      <c r="F61" s="241" t="str">
        <f>IF(C61&lt;&gt;"",'G2 MT Reading Scoresheet'!$I63/30,"")</f>
        <v/>
      </c>
      <c r="G61" s="241" t="str">
        <f>IF(AND($C61&lt;&gt;"",$E61&lt;&gt;"Full Refresher"),'G2 MT Reading Scoresheet'!$Q63,"")</f>
        <v/>
      </c>
      <c r="H61" s="241" t="str">
        <f>IF(AND(C61&lt;&gt;"",E61&lt;&gt;"Full Refresher"),'G2 MT Reading Scoresheet'!$R63/6,"")</f>
        <v/>
      </c>
      <c r="I61" s="210" t="str">
        <f>IF(AND(D61&lt;&gt;"",F61&lt;&gt;"Full Refresher"),'G2 MT Reading Scoresheet'!$P63,"")</f>
        <v/>
      </c>
      <c r="J61" s="245" t="str">
        <f>'G2 MT Reading Scoresheet'!$U63</f>
        <v/>
      </c>
      <c r="K61" s="57" t="str">
        <f>'G2 FIL Reading Scoresheet'!$J63</f>
        <v/>
      </c>
      <c r="L61" s="243" t="str">
        <f>IF($C61&lt;&gt;"",'G2 FIL Reading Scoresheet'!$I63/30,"")</f>
        <v/>
      </c>
      <c r="M61" s="243" t="str">
        <f>IF(AND($C61&lt;&gt;"",$K61&lt;&gt;"Full Refresher"),'G2 FIL Reading Scoresheet'!$Q63,"")</f>
        <v/>
      </c>
      <c r="N61" s="243" t="str">
        <f>IF(AND($C61&lt;&gt;"",K61&lt;&gt;"Full Refresher"),'G2 FIL Reading Scoresheet'!$R63/6,"")</f>
        <v/>
      </c>
      <c r="O61" s="57" t="str">
        <f>IF(AND(C61&lt;&gt;"",K61&lt;&gt;"Full Refresher"),'G2 FIL Reading Scoresheet'!$P63,"")</f>
        <v/>
      </c>
      <c r="P61" s="246" t="str">
        <f>'G2 FIL Reading Scoresheet'!$U63</f>
        <v/>
      </c>
      <c r="Q61" s="52" t="str">
        <f>CONCATENATE(IF(ISBLANK('G2 MT Reading Scoresheet'!V63),"",CONCATENATE("MT:",TRIM('G2 MT Reading Scoresheet'!V63)))," ",IF(ISBLANK('G2 FIL Reading Scoresheet'!V63),"",CONCATENATE("FIL:",TRIM('G2 FIL Reading Scoresheet'!V63))))</f>
        <v xml:space="preserve"> </v>
      </c>
    </row>
    <row r="62" spans="1:17" x14ac:dyDescent="0.3">
      <c r="A62" s="44">
        <v>54</v>
      </c>
      <c r="B62" s="45" t="str">
        <f>IF('G2 MT Reading Scoresheet'!B64&lt;&gt;"",'G2 MT Reading Scoresheet'!B64,"")</f>
        <v/>
      </c>
      <c r="C62" s="46" t="str">
        <f>IF('G2 MT Reading Scoresheet'!C64&lt;&gt;"",'G2 MT Reading Scoresheet'!C64,"")</f>
        <v/>
      </c>
      <c r="D62" s="47" t="str">
        <f>IF('G2 MT Reading Scoresheet'!D64&lt;&gt;"",'G2 MT Reading Scoresheet'!D64,"")</f>
        <v/>
      </c>
      <c r="E62" s="210" t="str">
        <f>'G2 MT Reading Scoresheet'!$J64</f>
        <v/>
      </c>
      <c r="F62" s="241" t="str">
        <f>IF(C62&lt;&gt;"",'G2 MT Reading Scoresheet'!$I64/30,"")</f>
        <v/>
      </c>
      <c r="G62" s="241" t="str">
        <f>IF(AND($C62&lt;&gt;"",$E62&lt;&gt;"Full Refresher"),'G2 MT Reading Scoresheet'!$Q64,"")</f>
        <v/>
      </c>
      <c r="H62" s="241" t="str">
        <f>IF(AND(C62&lt;&gt;"",E62&lt;&gt;"Full Refresher"),'G2 MT Reading Scoresheet'!$R64/6,"")</f>
        <v/>
      </c>
      <c r="I62" s="210" t="str">
        <f>IF(AND(D62&lt;&gt;"",F62&lt;&gt;"Full Refresher"),'G2 MT Reading Scoresheet'!$P64,"")</f>
        <v/>
      </c>
      <c r="J62" s="245" t="str">
        <f>'G2 MT Reading Scoresheet'!$U64</f>
        <v/>
      </c>
      <c r="K62" s="57" t="str">
        <f>'G2 FIL Reading Scoresheet'!$J64</f>
        <v/>
      </c>
      <c r="L62" s="243" t="str">
        <f>IF($C62&lt;&gt;"",'G2 FIL Reading Scoresheet'!$I64/30,"")</f>
        <v/>
      </c>
      <c r="M62" s="243" t="str">
        <f>IF(AND($C62&lt;&gt;"",$K62&lt;&gt;"Full Refresher"),'G2 FIL Reading Scoresheet'!$Q64,"")</f>
        <v/>
      </c>
      <c r="N62" s="243" t="str">
        <f>IF(AND($C62&lt;&gt;"",K62&lt;&gt;"Full Refresher"),'G2 FIL Reading Scoresheet'!$R64/6,"")</f>
        <v/>
      </c>
      <c r="O62" s="57" t="str">
        <f>IF(AND(C62&lt;&gt;"",K62&lt;&gt;"Full Refresher"),'G2 FIL Reading Scoresheet'!$P64,"")</f>
        <v/>
      </c>
      <c r="P62" s="246" t="str">
        <f>'G2 FIL Reading Scoresheet'!$U64</f>
        <v/>
      </c>
      <c r="Q62" s="48" t="str">
        <f>CONCATENATE(IF(ISBLANK('G2 MT Reading Scoresheet'!V64),"",CONCATENATE("MT:",TRIM('G2 MT Reading Scoresheet'!V64)))," ",IF(ISBLANK('G2 FIL Reading Scoresheet'!V64),"",CONCATENATE("FIL:",TRIM('G2 FIL Reading Scoresheet'!V64))))</f>
        <v xml:space="preserve"> </v>
      </c>
    </row>
    <row r="63" spans="1:17" x14ac:dyDescent="0.3">
      <c r="A63" s="43">
        <v>55</v>
      </c>
      <c r="B63" s="49" t="str">
        <f>IF('G2 MT Reading Scoresheet'!B65&lt;&gt;"",'G2 MT Reading Scoresheet'!B65,"")</f>
        <v/>
      </c>
      <c r="C63" s="50" t="str">
        <f>IF('G2 MT Reading Scoresheet'!C65&lt;&gt;"",'G2 MT Reading Scoresheet'!C65,"")</f>
        <v/>
      </c>
      <c r="D63" s="51" t="str">
        <f>IF('G2 MT Reading Scoresheet'!D65&lt;&gt;"",'G2 MT Reading Scoresheet'!D65,"")</f>
        <v/>
      </c>
      <c r="E63" s="210" t="str">
        <f>'G2 MT Reading Scoresheet'!$J65</f>
        <v/>
      </c>
      <c r="F63" s="241" t="str">
        <f>IF(C63&lt;&gt;"",'G2 MT Reading Scoresheet'!$I65/30,"")</f>
        <v/>
      </c>
      <c r="G63" s="241" t="str">
        <f>IF(AND($C63&lt;&gt;"",$E63&lt;&gt;"Full Refresher"),'G2 MT Reading Scoresheet'!$Q65,"")</f>
        <v/>
      </c>
      <c r="H63" s="241" t="str">
        <f>IF(AND(C63&lt;&gt;"",E63&lt;&gt;"Full Refresher"),'G2 MT Reading Scoresheet'!$R65/6,"")</f>
        <v/>
      </c>
      <c r="I63" s="210" t="str">
        <f>IF(AND(D63&lt;&gt;"",F63&lt;&gt;"Full Refresher"),'G2 MT Reading Scoresheet'!$P65,"")</f>
        <v/>
      </c>
      <c r="J63" s="245" t="str">
        <f>'G2 MT Reading Scoresheet'!$U65</f>
        <v/>
      </c>
      <c r="K63" s="57" t="str">
        <f>'G2 FIL Reading Scoresheet'!$J65</f>
        <v/>
      </c>
      <c r="L63" s="243" t="str">
        <f>IF($C63&lt;&gt;"",'G2 FIL Reading Scoresheet'!$I65/30,"")</f>
        <v/>
      </c>
      <c r="M63" s="243" t="str">
        <f>IF(AND($C63&lt;&gt;"",$K63&lt;&gt;"Full Refresher"),'G2 FIL Reading Scoresheet'!$Q65,"")</f>
        <v/>
      </c>
      <c r="N63" s="243" t="str">
        <f>IF(AND($C63&lt;&gt;"",K63&lt;&gt;"Full Refresher"),'G2 FIL Reading Scoresheet'!$R65/6,"")</f>
        <v/>
      </c>
      <c r="O63" s="57" t="str">
        <f>IF(AND(C63&lt;&gt;"",K63&lt;&gt;"Full Refresher"),'G2 FIL Reading Scoresheet'!$P65,"")</f>
        <v/>
      </c>
      <c r="P63" s="246" t="str">
        <f>'G2 FIL Reading Scoresheet'!$U65</f>
        <v/>
      </c>
      <c r="Q63" s="52" t="str">
        <f>CONCATENATE(IF(ISBLANK('G2 MT Reading Scoresheet'!V65),"",CONCATENATE("MT:",TRIM('G2 MT Reading Scoresheet'!V65)))," ",IF(ISBLANK('G2 FIL Reading Scoresheet'!V65),"",CONCATENATE("FIL:",TRIM('G2 FIL Reading Scoresheet'!V65))))</f>
        <v xml:space="preserve"> </v>
      </c>
    </row>
    <row r="64" spans="1:17" x14ac:dyDescent="0.3">
      <c r="A64" s="44">
        <v>56</v>
      </c>
      <c r="B64" s="45" t="str">
        <f>IF('G2 MT Reading Scoresheet'!B66&lt;&gt;"",'G2 MT Reading Scoresheet'!B66,"")</f>
        <v/>
      </c>
      <c r="C64" s="46" t="str">
        <f>IF('G2 MT Reading Scoresheet'!C66&lt;&gt;"",'G2 MT Reading Scoresheet'!C66,"")</f>
        <v/>
      </c>
      <c r="D64" s="47" t="str">
        <f>IF('G2 MT Reading Scoresheet'!D66&lt;&gt;"",'G2 MT Reading Scoresheet'!D66,"")</f>
        <v/>
      </c>
      <c r="E64" s="210" t="str">
        <f>'G2 MT Reading Scoresheet'!$J66</f>
        <v/>
      </c>
      <c r="F64" s="241" t="str">
        <f>IF(C64&lt;&gt;"",'G2 MT Reading Scoresheet'!$I66/30,"")</f>
        <v/>
      </c>
      <c r="G64" s="241" t="str">
        <f>IF(AND($C64&lt;&gt;"",$E64&lt;&gt;"Full Refresher"),'G2 MT Reading Scoresheet'!$Q66,"")</f>
        <v/>
      </c>
      <c r="H64" s="241" t="str">
        <f>IF(AND(C64&lt;&gt;"",E64&lt;&gt;"Full Refresher"),'G2 MT Reading Scoresheet'!$R66/6,"")</f>
        <v/>
      </c>
      <c r="I64" s="210" t="str">
        <f>IF(AND(D64&lt;&gt;"",F64&lt;&gt;"Full Refresher"),'G2 MT Reading Scoresheet'!$P66,"")</f>
        <v/>
      </c>
      <c r="J64" s="245" t="str">
        <f>'G2 MT Reading Scoresheet'!$U66</f>
        <v/>
      </c>
      <c r="K64" s="57" t="str">
        <f>'G2 FIL Reading Scoresheet'!$J66</f>
        <v/>
      </c>
      <c r="L64" s="243" t="str">
        <f>IF($C64&lt;&gt;"",'G2 FIL Reading Scoresheet'!$I66/30,"")</f>
        <v/>
      </c>
      <c r="M64" s="243" t="str">
        <f>IF(AND($C64&lt;&gt;"",$K64&lt;&gt;"Full Refresher"),'G2 FIL Reading Scoresheet'!$Q66,"")</f>
        <v/>
      </c>
      <c r="N64" s="243" t="str">
        <f>IF(AND($C64&lt;&gt;"",K64&lt;&gt;"Full Refresher"),'G2 FIL Reading Scoresheet'!$R66/6,"")</f>
        <v/>
      </c>
      <c r="O64" s="57" t="str">
        <f>IF(AND(C64&lt;&gt;"",K64&lt;&gt;"Full Refresher"),'G2 FIL Reading Scoresheet'!$P66,"")</f>
        <v/>
      </c>
      <c r="P64" s="246" t="str">
        <f>'G2 FIL Reading Scoresheet'!$U66</f>
        <v/>
      </c>
      <c r="Q64" s="48" t="str">
        <f>CONCATENATE(IF(ISBLANK('G2 MT Reading Scoresheet'!V66),"",CONCATENATE("MT:",TRIM('G2 MT Reading Scoresheet'!V66)))," ",IF(ISBLANK('G2 FIL Reading Scoresheet'!V66),"",CONCATENATE("FIL:",TRIM('G2 FIL Reading Scoresheet'!V66))))</f>
        <v xml:space="preserve"> </v>
      </c>
    </row>
    <row r="65" spans="1:17" x14ac:dyDescent="0.3">
      <c r="A65" s="43">
        <v>57</v>
      </c>
      <c r="B65" s="49" t="str">
        <f>IF('G2 MT Reading Scoresheet'!B67&lt;&gt;"",'G2 MT Reading Scoresheet'!B67,"")</f>
        <v/>
      </c>
      <c r="C65" s="50" t="str">
        <f>IF('G2 MT Reading Scoresheet'!C67&lt;&gt;"",'G2 MT Reading Scoresheet'!C67,"")</f>
        <v/>
      </c>
      <c r="D65" s="51" t="str">
        <f>IF('G2 MT Reading Scoresheet'!D67&lt;&gt;"",'G2 MT Reading Scoresheet'!D67,"")</f>
        <v/>
      </c>
      <c r="E65" s="210" t="str">
        <f>'G2 MT Reading Scoresheet'!$J67</f>
        <v/>
      </c>
      <c r="F65" s="241" t="str">
        <f>IF(C65&lt;&gt;"",'G2 MT Reading Scoresheet'!$I67/30,"")</f>
        <v/>
      </c>
      <c r="G65" s="241" t="str">
        <f>IF(AND($C65&lt;&gt;"",$E65&lt;&gt;"Full Refresher"),'G2 MT Reading Scoresheet'!$Q67,"")</f>
        <v/>
      </c>
      <c r="H65" s="241" t="str">
        <f>IF(AND(C65&lt;&gt;"",E65&lt;&gt;"Full Refresher"),'G2 MT Reading Scoresheet'!$R67/6,"")</f>
        <v/>
      </c>
      <c r="I65" s="210" t="str">
        <f>IF(AND(D65&lt;&gt;"",F65&lt;&gt;"Full Refresher"),'G2 MT Reading Scoresheet'!$P67,"")</f>
        <v/>
      </c>
      <c r="J65" s="245" t="str">
        <f>'G2 MT Reading Scoresheet'!$U67</f>
        <v/>
      </c>
      <c r="K65" s="57" t="str">
        <f>'G2 FIL Reading Scoresheet'!$J67</f>
        <v/>
      </c>
      <c r="L65" s="243" t="str">
        <f>IF($C65&lt;&gt;"",'G2 FIL Reading Scoresheet'!$I67/30,"")</f>
        <v/>
      </c>
      <c r="M65" s="243" t="str">
        <f>IF(AND($C65&lt;&gt;"",$K65&lt;&gt;"Full Refresher"),'G2 FIL Reading Scoresheet'!$Q67,"")</f>
        <v/>
      </c>
      <c r="N65" s="243" t="str">
        <f>IF(AND($C65&lt;&gt;"",K65&lt;&gt;"Full Refresher"),'G2 FIL Reading Scoresheet'!$R67/6,"")</f>
        <v/>
      </c>
      <c r="O65" s="57" t="str">
        <f>IF(AND(C65&lt;&gt;"",K65&lt;&gt;"Full Refresher"),'G2 FIL Reading Scoresheet'!$P67,"")</f>
        <v/>
      </c>
      <c r="P65" s="246" t="str">
        <f>'G2 FIL Reading Scoresheet'!$U67</f>
        <v/>
      </c>
      <c r="Q65" s="52" t="str">
        <f>CONCATENATE(IF(ISBLANK('G2 MT Reading Scoresheet'!V67),"",CONCATENATE("MT:",TRIM('G2 MT Reading Scoresheet'!V67)))," ",IF(ISBLANK('G2 FIL Reading Scoresheet'!V67),"",CONCATENATE("FIL:",TRIM('G2 FIL Reading Scoresheet'!V67))))</f>
        <v xml:space="preserve"> </v>
      </c>
    </row>
    <row r="66" spans="1:17" x14ac:dyDescent="0.3">
      <c r="A66" s="44">
        <v>58</v>
      </c>
      <c r="B66" s="45" t="str">
        <f>IF('G2 MT Reading Scoresheet'!B68&lt;&gt;"",'G2 MT Reading Scoresheet'!B68,"")</f>
        <v/>
      </c>
      <c r="C66" s="46" t="str">
        <f>IF('G2 MT Reading Scoresheet'!C68&lt;&gt;"",'G2 MT Reading Scoresheet'!C68,"")</f>
        <v/>
      </c>
      <c r="D66" s="47" t="str">
        <f>IF('G2 MT Reading Scoresheet'!D68&lt;&gt;"",'G2 MT Reading Scoresheet'!D68,"")</f>
        <v/>
      </c>
      <c r="E66" s="210" t="str">
        <f>'G2 MT Reading Scoresheet'!$J68</f>
        <v/>
      </c>
      <c r="F66" s="241" t="str">
        <f>IF(C66&lt;&gt;"",'G2 MT Reading Scoresheet'!$I68/30,"")</f>
        <v/>
      </c>
      <c r="G66" s="241" t="str">
        <f>IF(AND($C66&lt;&gt;"",$E66&lt;&gt;"Full Refresher"),'G2 MT Reading Scoresheet'!$Q68,"")</f>
        <v/>
      </c>
      <c r="H66" s="241" t="str">
        <f>IF(AND(C66&lt;&gt;"",E66&lt;&gt;"Full Refresher"),'G2 MT Reading Scoresheet'!$R68/6,"")</f>
        <v/>
      </c>
      <c r="I66" s="210" t="str">
        <f>IF(AND(D66&lt;&gt;"",F66&lt;&gt;"Full Refresher"),'G2 MT Reading Scoresheet'!$P68,"")</f>
        <v/>
      </c>
      <c r="J66" s="245" t="str">
        <f>'G2 MT Reading Scoresheet'!$U68</f>
        <v/>
      </c>
      <c r="K66" s="57" t="str">
        <f>'G2 FIL Reading Scoresheet'!$J68</f>
        <v/>
      </c>
      <c r="L66" s="243" t="str">
        <f>IF($C66&lt;&gt;"",'G2 FIL Reading Scoresheet'!$I68/30,"")</f>
        <v/>
      </c>
      <c r="M66" s="243" t="str">
        <f>IF(AND($C66&lt;&gt;"",$K66&lt;&gt;"Full Refresher"),'G2 FIL Reading Scoresheet'!$Q68,"")</f>
        <v/>
      </c>
      <c r="N66" s="243" t="str">
        <f>IF(AND($C66&lt;&gt;"",K66&lt;&gt;"Full Refresher"),'G2 FIL Reading Scoresheet'!$R68/6,"")</f>
        <v/>
      </c>
      <c r="O66" s="57" t="str">
        <f>IF(AND(C66&lt;&gt;"",K66&lt;&gt;"Full Refresher"),'G2 FIL Reading Scoresheet'!$P68,"")</f>
        <v/>
      </c>
      <c r="P66" s="246" t="str">
        <f>'G2 FIL Reading Scoresheet'!$U68</f>
        <v/>
      </c>
      <c r="Q66" s="48" t="str">
        <f>CONCATENATE(IF(ISBLANK('G2 MT Reading Scoresheet'!V68),"",CONCATENATE("MT:",TRIM('G2 MT Reading Scoresheet'!V68)))," ",IF(ISBLANK('G2 FIL Reading Scoresheet'!V68),"",CONCATENATE("FIL:",TRIM('G2 FIL Reading Scoresheet'!V68))))</f>
        <v xml:space="preserve"> </v>
      </c>
    </row>
    <row r="67" spans="1:17" x14ac:dyDescent="0.3">
      <c r="A67" s="43">
        <v>59</v>
      </c>
      <c r="B67" s="49" t="str">
        <f>IF('G2 MT Reading Scoresheet'!B69&lt;&gt;"",'G2 MT Reading Scoresheet'!B69,"")</f>
        <v/>
      </c>
      <c r="C67" s="50" t="str">
        <f>IF('G2 MT Reading Scoresheet'!C69&lt;&gt;"",'G2 MT Reading Scoresheet'!C69,"")</f>
        <v/>
      </c>
      <c r="D67" s="51" t="str">
        <f>IF('G2 MT Reading Scoresheet'!D69&lt;&gt;"",'G2 MT Reading Scoresheet'!D69,"")</f>
        <v/>
      </c>
      <c r="E67" s="210" t="str">
        <f>'G2 MT Reading Scoresheet'!$J69</f>
        <v/>
      </c>
      <c r="F67" s="241" t="str">
        <f>IF(C67&lt;&gt;"",'G2 MT Reading Scoresheet'!$I69/30,"")</f>
        <v/>
      </c>
      <c r="G67" s="241" t="str">
        <f>IF(AND($C67&lt;&gt;"",$E67&lt;&gt;"Full Refresher"),'G2 MT Reading Scoresheet'!$Q69,"")</f>
        <v/>
      </c>
      <c r="H67" s="241" t="str">
        <f>IF(AND(C67&lt;&gt;"",E67&lt;&gt;"Full Refresher"),'G2 MT Reading Scoresheet'!$R69/6,"")</f>
        <v/>
      </c>
      <c r="I67" s="210" t="str">
        <f>IF(AND(D67&lt;&gt;"",F67&lt;&gt;"Full Refresher"),'G2 MT Reading Scoresheet'!$P69,"")</f>
        <v/>
      </c>
      <c r="J67" s="245" t="str">
        <f>'G2 MT Reading Scoresheet'!$U69</f>
        <v/>
      </c>
      <c r="K67" s="57" t="str">
        <f>'G2 FIL Reading Scoresheet'!$J69</f>
        <v/>
      </c>
      <c r="L67" s="243" t="str">
        <f>IF($C67&lt;&gt;"",'G2 FIL Reading Scoresheet'!$I69/30,"")</f>
        <v/>
      </c>
      <c r="M67" s="243" t="str">
        <f>IF(AND($C67&lt;&gt;"",$K67&lt;&gt;"Full Refresher"),'G2 FIL Reading Scoresheet'!$Q69,"")</f>
        <v/>
      </c>
      <c r="N67" s="243" t="str">
        <f>IF(AND($C67&lt;&gt;"",K67&lt;&gt;"Full Refresher"),'G2 FIL Reading Scoresheet'!$R69/6,"")</f>
        <v/>
      </c>
      <c r="O67" s="57" t="str">
        <f>IF(AND(C67&lt;&gt;"",K67&lt;&gt;"Full Refresher"),'G2 FIL Reading Scoresheet'!$P69,"")</f>
        <v/>
      </c>
      <c r="P67" s="246" t="str">
        <f>'G2 FIL Reading Scoresheet'!$U69</f>
        <v/>
      </c>
      <c r="Q67" s="52" t="str">
        <f>CONCATENATE(IF(ISBLANK('G2 MT Reading Scoresheet'!V69),"",CONCATENATE("MT:",TRIM('G2 MT Reading Scoresheet'!V69)))," ",IF(ISBLANK('G2 FIL Reading Scoresheet'!V69),"",CONCATENATE("FIL:",TRIM('G2 FIL Reading Scoresheet'!V69))))</f>
        <v xml:space="preserve"> </v>
      </c>
    </row>
    <row r="68" spans="1:17" x14ac:dyDescent="0.3">
      <c r="A68" s="44">
        <f>A67+1</f>
        <v>60</v>
      </c>
      <c r="B68" s="45" t="str">
        <f>IF('G2 MT Reading Scoresheet'!B70&lt;&gt;"",'G2 MT Reading Scoresheet'!B70,"")</f>
        <v/>
      </c>
      <c r="C68" s="46" t="str">
        <f>IF('G2 MT Reading Scoresheet'!C70&lt;&gt;"",'G2 MT Reading Scoresheet'!C70,"")</f>
        <v/>
      </c>
      <c r="D68" s="47" t="str">
        <f>IF('G2 MT Reading Scoresheet'!D70&lt;&gt;"",'G2 MT Reading Scoresheet'!D70,"")</f>
        <v/>
      </c>
      <c r="E68" s="210" t="str">
        <f>'G2 MT Reading Scoresheet'!$J70</f>
        <v/>
      </c>
      <c r="F68" s="241" t="str">
        <f>IF(C68&lt;&gt;"",'G2 MT Reading Scoresheet'!$I70/30,"")</f>
        <v/>
      </c>
      <c r="G68" s="241" t="str">
        <f>IF(AND($C68&lt;&gt;"",$E68&lt;&gt;"Full Refresher"),'G2 MT Reading Scoresheet'!$Q70,"")</f>
        <v/>
      </c>
      <c r="H68" s="241" t="str">
        <f>IF(AND(C68&lt;&gt;"",E68&lt;&gt;"Full Refresher"),'G2 MT Reading Scoresheet'!$R70/6,"")</f>
        <v/>
      </c>
      <c r="I68" s="210" t="str">
        <f>IF(AND(D68&lt;&gt;"",F68&lt;&gt;"Full Refresher"),'G2 MT Reading Scoresheet'!$P70,"")</f>
        <v/>
      </c>
      <c r="J68" s="245" t="str">
        <f>'G2 MT Reading Scoresheet'!$U70</f>
        <v/>
      </c>
      <c r="K68" s="57" t="str">
        <f>'G2 FIL Reading Scoresheet'!$J70</f>
        <v/>
      </c>
      <c r="L68" s="243" t="str">
        <f>IF($C68&lt;&gt;"",'G2 FIL Reading Scoresheet'!$I70/30,"")</f>
        <v/>
      </c>
      <c r="M68" s="243" t="str">
        <f>IF(AND($C68&lt;&gt;"",$K68&lt;&gt;"Full Refresher"),'G2 FIL Reading Scoresheet'!$Q70,"")</f>
        <v/>
      </c>
      <c r="N68" s="243" t="str">
        <f>IF(AND($C68&lt;&gt;"",K68&lt;&gt;"Full Refresher"),'G2 FIL Reading Scoresheet'!$R70/6,"")</f>
        <v/>
      </c>
      <c r="O68" s="57" t="str">
        <f>IF(AND(C68&lt;&gt;"",K68&lt;&gt;"Full Refresher"),'G2 FIL Reading Scoresheet'!$P70,"")</f>
        <v/>
      </c>
      <c r="P68" s="246" t="str">
        <f>'G2 FIL Reading Scoresheet'!$U70</f>
        <v/>
      </c>
      <c r="Q68" s="48" t="str">
        <f>CONCATENATE(IF(ISBLANK('G2 MT Reading Scoresheet'!V70),"",CONCATENATE("MT:",TRIM('G2 MT Reading Scoresheet'!V70)))," ",IF(ISBLANK('G2 FIL Reading Scoresheet'!V70),"",CONCATENATE("FIL:",TRIM('G2 FIL Reading Scoresheet'!V70))))</f>
        <v xml:space="preserve"> </v>
      </c>
    </row>
    <row r="69" spans="1:17" x14ac:dyDescent="0.3">
      <c r="A69" s="43">
        <f t="shared" ref="A69:A107" si="0">A68+1</f>
        <v>61</v>
      </c>
      <c r="B69" s="49" t="str">
        <f>IF('G2 MT Reading Scoresheet'!B71&lt;&gt;"",'G2 MT Reading Scoresheet'!B71,"")</f>
        <v/>
      </c>
      <c r="C69" s="50" t="str">
        <f>IF('G2 MT Reading Scoresheet'!C71&lt;&gt;"",'G2 MT Reading Scoresheet'!C71,"")</f>
        <v/>
      </c>
      <c r="D69" s="51" t="str">
        <f>IF('G2 MT Reading Scoresheet'!D71&lt;&gt;"",'G2 MT Reading Scoresheet'!D71,"")</f>
        <v/>
      </c>
      <c r="E69" s="210" t="str">
        <f>'G2 MT Reading Scoresheet'!$J71</f>
        <v/>
      </c>
      <c r="F69" s="241" t="str">
        <f>IF(C69&lt;&gt;"",'G2 MT Reading Scoresheet'!$I71/30,"")</f>
        <v/>
      </c>
      <c r="G69" s="241" t="str">
        <f>IF(AND($C69&lt;&gt;"",$E69&lt;&gt;"Full Refresher"),'G2 MT Reading Scoresheet'!$Q71,"")</f>
        <v/>
      </c>
      <c r="H69" s="241" t="str">
        <f>IF(AND(C69&lt;&gt;"",E69&lt;&gt;"Full Refresher"),'G2 MT Reading Scoresheet'!$R71/6,"")</f>
        <v/>
      </c>
      <c r="I69" s="210" t="str">
        <f>IF(AND(D69&lt;&gt;"",F69&lt;&gt;"Full Refresher"),'G2 MT Reading Scoresheet'!$P71,"")</f>
        <v/>
      </c>
      <c r="J69" s="245" t="str">
        <f>'G2 MT Reading Scoresheet'!$U71</f>
        <v/>
      </c>
      <c r="K69" s="57" t="str">
        <f>'G2 FIL Reading Scoresheet'!$J71</f>
        <v/>
      </c>
      <c r="L69" s="243" t="str">
        <f>IF($C69&lt;&gt;"",'G2 FIL Reading Scoresheet'!$I71/30,"")</f>
        <v/>
      </c>
      <c r="M69" s="243" t="str">
        <f>IF(AND($C69&lt;&gt;"",$K69&lt;&gt;"Full Refresher"),'G2 FIL Reading Scoresheet'!$Q71,"")</f>
        <v/>
      </c>
      <c r="N69" s="243" t="str">
        <f>IF(AND($C69&lt;&gt;"",K69&lt;&gt;"Full Refresher"),'G2 FIL Reading Scoresheet'!$R71/6,"")</f>
        <v/>
      </c>
      <c r="O69" s="57" t="str">
        <f>IF(AND(C69&lt;&gt;"",K69&lt;&gt;"Full Refresher"),'G2 FIL Reading Scoresheet'!$P71,"")</f>
        <v/>
      </c>
      <c r="P69" s="246" t="str">
        <f>'G2 FIL Reading Scoresheet'!$U71</f>
        <v/>
      </c>
      <c r="Q69" s="52" t="str">
        <f>CONCATENATE(IF(ISBLANK('G2 MT Reading Scoresheet'!V71),"",CONCATENATE("MT:",TRIM('G2 MT Reading Scoresheet'!V71)))," ",IF(ISBLANK('G2 FIL Reading Scoresheet'!V71),"",CONCATENATE("FIL:",TRIM('G2 FIL Reading Scoresheet'!V71))))</f>
        <v xml:space="preserve"> </v>
      </c>
    </row>
    <row r="70" spans="1:17" x14ac:dyDescent="0.3">
      <c r="A70" s="44">
        <f t="shared" si="0"/>
        <v>62</v>
      </c>
      <c r="B70" s="45" t="str">
        <f>IF('G2 MT Reading Scoresheet'!B72&lt;&gt;"",'G2 MT Reading Scoresheet'!B72,"")</f>
        <v/>
      </c>
      <c r="C70" s="46" t="str">
        <f>IF('G2 MT Reading Scoresheet'!C72&lt;&gt;"",'G2 MT Reading Scoresheet'!C72,"")</f>
        <v/>
      </c>
      <c r="D70" s="47" t="str">
        <f>IF('G2 MT Reading Scoresheet'!D72&lt;&gt;"",'G2 MT Reading Scoresheet'!D72,"")</f>
        <v/>
      </c>
      <c r="E70" s="210" t="str">
        <f>'G2 MT Reading Scoresheet'!$J72</f>
        <v/>
      </c>
      <c r="F70" s="241" t="str">
        <f>IF(C70&lt;&gt;"",'G2 MT Reading Scoresheet'!$I72/30,"")</f>
        <v/>
      </c>
      <c r="G70" s="241" t="str">
        <f>IF(AND($C70&lt;&gt;"",$E70&lt;&gt;"Full Refresher"),'G2 MT Reading Scoresheet'!$Q72,"")</f>
        <v/>
      </c>
      <c r="H70" s="241" t="str">
        <f>IF(AND(C70&lt;&gt;"",E70&lt;&gt;"Full Refresher"),'G2 MT Reading Scoresheet'!$R72/6,"")</f>
        <v/>
      </c>
      <c r="I70" s="210" t="str">
        <f>IF(AND(D70&lt;&gt;"",F70&lt;&gt;"Full Refresher"),'G2 MT Reading Scoresheet'!$P72,"")</f>
        <v/>
      </c>
      <c r="J70" s="245" t="str">
        <f>'G2 MT Reading Scoresheet'!$U72</f>
        <v/>
      </c>
      <c r="K70" s="57" t="str">
        <f>'G2 FIL Reading Scoresheet'!$J72</f>
        <v/>
      </c>
      <c r="L70" s="243" t="str">
        <f>IF($C70&lt;&gt;"",'G2 FIL Reading Scoresheet'!$I72/30,"")</f>
        <v/>
      </c>
      <c r="M70" s="243" t="str">
        <f>IF(AND($C70&lt;&gt;"",$K70&lt;&gt;"Full Refresher"),'G2 FIL Reading Scoresheet'!$Q72,"")</f>
        <v/>
      </c>
      <c r="N70" s="243" t="str">
        <f>IF(AND($C70&lt;&gt;"",K70&lt;&gt;"Full Refresher"),'G2 FIL Reading Scoresheet'!$R72/6,"")</f>
        <v/>
      </c>
      <c r="O70" s="57" t="str">
        <f>IF(AND(C70&lt;&gt;"",K70&lt;&gt;"Full Refresher"),'G2 FIL Reading Scoresheet'!$P72,"")</f>
        <v/>
      </c>
      <c r="P70" s="246" t="str">
        <f>'G2 FIL Reading Scoresheet'!$U72</f>
        <v/>
      </c>
      <c r="Q70" s="48" t="str">
        <f>CONCATENATE(IF(ISBLANK('G2 MT Reading Scoresheet'!V72),"",CONCATENATE("MT:",TRIM('G2 MT Reading Scoresheet'!V72)))," ",IF(ISBLANK('G2 FIL Reading Scoresheet'!V72),"",CONCATENATE("FIL:",TRIM('G2 FIL Reading Scoresheet'!V72))))</f>
        <v xml:space="preserve"> </v>
      </c>
    </row>
    <row r="71" spans="1:17" x14ac:dyDescent="0.3">
      <c r="A71" s="43">
        <f t="shared" si="0"/>
        <v>63</v>
      </c>
      <c r="B71" s="49" t="str">
        <f>IF('G2 MT Reading Scoresheet'!B73&lt;&gt;"",'G2 MT Reading Scoresheet'!B73,"")</f>
        <v/>
      </c>
      <c r="C71" s="50" t="str">
        <f>IF('G2 MT Reading Scoresheet'!C73&lt;&gt;"",'G2 MT Reading Scoresheet'!C73,"")</f>
        <v/>
      </c>
      <c r="D71" s="51" t="str">
        <f>IF('G2 MT Reading Scoresheet'!D73&lt;&gt;"",'G2 MT Reading Scoresheet'!D73,"")</f>
        <v/>
      </c>
      <c r="E71" s="210" t="str">
        <f>'G2 MT Reading Scoresheet'!$J73</f>
        <v/>
      </c>
      <c r="F71" s="241" t="str">
        <f>IF(C71&lt;&gt;"",'G2 MT Reading Scoresheet'!$I73/30,"")</f>
        <v/>
      </c>
      <c r="G71" s="241" t="str">
        <f>IF(AND($C71&lt;&gt;"",$E71&lt;&gt;"Full Refresher"),'G2 MT Reading Scoresheet'!$Q73,"")</f>
        <v/>
      </c>
      <c r="H71" s="241" t="str">
        <f>IF(AND(C71&lt;&gt;"",E71&lt;&gt;"Full Refresher"),'G2 MT Reading Scoresheet'!$R73/6,"")</f>
        <v/>
      </c>
      <c r="I71" s="210" t="str">
        <f>IF(AND(D71&lt;&gt;"",F71&lt;&gt;"Full Refresher"),'G2 MT Reading Scoresheet'!$P73,"")</f>
        <v/>
      </c>
      <c r="J71" s="245" t="str">
        <f>'G2 MT Reading Scoresheet'!$U73</f>
        <v/>
      </c>
      <c r="K71" s="57" t="str">
        <f>'G2 FIL Reading Scoresheet'!$J73</f>
        <v/>
      </c>
      <c r="L71" s="243" t="str">
        <f>IF($C71&lt;&gt;"",'G2 FIL Reading Scoresheet'!$I73/30,"")</f>
        <v/>
      </c>
      <c r="M71" s="243" t="str">
        <f>IF(AND($C71&lt;&gt;"",$K71&lt;&gt;"Full Refresher"),'G2 FIL Reading Scoresheet'!$Q73,"")</f>
        <v/>
      </c>
      <c r="N71" s="243" t="str">
        <f>IF(AND($C71&lt;&gt;"",K71&lt;&gt;"Full Refresher"),'G2 FIL Reading Scoresheet'!$R73/6,"")</f>
        <v/>
      </c>
      <c r="O71" s="57" t="str">
        <f>IF(AND(C71&lt;&gt;"",K71&lt;&gt;"Full Refresher"),'G2 FIL Reading Scoresheet'!$P73,"")</f>
        <v/>
      </c>
      <c r="P71" s="246" t="str">
        <f>'G2 FIL Reading Scoresheet'!$U73</f>
        <v/>
      </c>
      <c r="Q71" s="52" t="str">
        <f>CONCATENATE(IF(ISBLANK('G2 MT Reading Scoresheet'!V73),"",CONCATENATE("MT:",TRIM('G2 MT Reading Scoresheet'!V73)))," ",IF(ISBLANK('G2 FIL Reading Scoresheet'!V73),"",CONCATENATE("FIL:",TRIM('G2 FIL Reading Scoresheet'!V73))))</f>
        <v xml:space="preserve"> </v>
      </c>
    </row>
    <row r="72" spans="1:17" x14ac:dyDescent="0.3">
      <c r="A72" s="44">
        <f t="shared" si="0"/>
        <v>64</v>
      </c>
      <c r="B72" s="45" t="str">
        <f>IF('G2 MT Reading Scoresheet'!B74&lt;&gt;"",'G2 MT Reading Scoresheet'!B74,"")</f>
        <v/>
      </c>
      <c r="C72" s="46" t="str">
        <f>IF('G2 MT Reading Scoresheet'!C74&lt;&gt;"",'G2 MT Reading Scoresheet'!C74,"")</f>
        <v/>
      </c>
      <c r="D72" s="47" t="str">
        <f>IF('G2 MT Reading Scoresheet'!D74&lt;&gt;"",'G2 MT Reading Scoresheet'!D74,"")</f>
        <v/>
      </c>
      <c r="E72" s="210" t="str">
        <f>'G2 MT Reading Scoresheet'!$J74</f>
        <v/>
      </c>
      <c r="F72" s="241" t="str">
        <f>IF(C72&lt;&gt;"",'G2 MT Reading Scoresheet'!$I74/30,"")</f>
        <v/>
      </c>
      <c r="G72" s="241" t="str">
        <f>IF(AND($C72&lt;&gt;"",$E72&lt;&gt;"Full Refresher"),'G2 MT Reading Scoresheet'!$Q74,"")</f>
        <v/>
      </c>
      <c r="H72" s="241" t="str">
        <f>IF(AND(C72&lt;&gt;"",E72&lt;&gt;"Full Refresher"),'G2 MT Reading Scoresheet'!$R74/6,"")</f>
        <v/>
      </c>
      <c r="I72" s="210" t="str">
        <f>IF(AND(D72&lt;&gt;"",F72&lt;&gt;"Full Refresher"),'G2 MT Reading Scoresheet'!$P74,"")</f>
        <v/>
      </c>
      <c r="J72" s="245" t="str">
        <f>'G2 MT Reading Scoresheet'!$U74</f>
        <v/>
      </c>
      <c r="K72" s="57" t="str">
        <f>'G2 FIL Reading Scoresheet'!$J74</f>
        <v/>
      </c>
      <c r="L72" s="243" t="str">
        <f>IF($C72&lt;&gt;"",'G2 FIL Reading Scoresheet'!$I74/30,"")</f>
        <v/>
      </c>
      <c r="M72" s="243" t="str">
        <f>IF(AND($C72&lt;&gt;"",$K72&lt;&gt;"Full Refresher"),'G2 FIL Reading Scoresheet'!$Q74,"")</f>
        <v/>
      </c>
      <c r="N72" s="243" t="str">
        <f>IF(AND($C72&lt;&gt;"",K72&lt;&gt;"Full Refresher"),'G2 FIL Reading Scoresheet'!$R74/6,"")</f>
        <v/>
      </c>
      <c r="O72" s="57" t="str">
        <f>IF(AND(C72&lt;&gt;"",K72&lt;&gt;"Full Refresher"),'G2 FIL Reading Scoresheet'!$P74,"")</f>
        <v/>
      </c>
      <c r="P72" s="246" t="str">
        <f>'G2 FIL Reading Scoresheet'!$U74</f>
        <v/>
      </c>
      <c r="Q72" s="48" t="str">
        <f>CONCATENATE(IF(ISBLANK('G2 MT Reading Scoresheet'!V74),"",CONCATENATE("MT:",TRIM('G2 MT Reading Scoresheet'!V74)))," ",IF(ISBLANK('G2 FIL Reading Scoresheet'!V74),"",CONCATENATE("FIL:",TRIM('G2 FIL Reading Scoresheet'!V74))))</f>
        <v xml:space="preserve"> </v>
      </c>
    </row>
    <row r="73" spans="1:17" x14ac:dyDescent="0.3">
      <c r="A73" s="43">
        <f t="shared" si="0"/>
        <v>65</v>
      </c>
      <c r="B73" s="49" t="str">
        <f>IF('G2 MT Reading Scoresheet'!B75&lt;&gt;"",'G2 MT Reading Scoresheet'!B75,"")</f>
        <v/>
      </c>
      <c r="C73" s="50" t="str">
        <f>IF('G2 MT Reading Scoresheet'!C75&lt;&gt;"",'G2 MT Reading Scoresheet'!C75,"")</f>
        <v/>
      </c>
      <c r="D73" s="51" t="str">
        <f>IF('G2 MT Reading Scoresheet'!D75&lt;&gt;"",'G2 MT Reading Scoresheet'!D75,"")</f>
        <v/>
      </c>
      <c r="E73" s="210" t="str">
        <f>'G2 MT Reading Scoresheet'!$J75</f>
        <v/>
      </c>
      <c r="F73" s="241" t="str">
        <f>IF(C73&lt;&gt;"",'G2 MT Reading Scoresheet'!$I75/30,"")</f>
        <v/>
      </c>
      <c r="G73" s="241" t="str">
        <f>IF(AND($C73&lt;&gt;"",$E73&lt;&gt;"Full Refresher"),'G2 MT Reading Scoresheet'!$Q75,"")</f>
        <v/>
      </c>
      <c r="H73" s="241" t="str">
        <f>IF(AND(C73&lt;&gt;"",E73&lt;&gt;"Full Refresher"),'G2 MT Reading Scoresheet'!$R75/6,"")</f>
        <v/>
      </c>
      <c r="I73" s="210" t="str">
        <f>IF(AND(D73&lt;&gt;"",F73&lt;&gt;"Full Refresher"),'G2 MT Reading Scoresheet'!$P75,"")</f>
        <v/>
      </c>
      <c r="J73" s="245" t="str">
        <f>'G2 MT Reading Scoresheet'!$U75</f>
        <v/>
      </c>
      <c r="K73" s="57" t="str">
        <f>'G2 FIL Reading Scoresheet'!$J75</f>
        <v/>
      </c>
      <c r="L73" s="243" t="str">
        <f>IF($C73&lt;&gt;"",'G2 FIL Reading Scoresheet'!$I75/30,"")</f>
        <v/>
      </c>
      <c r="M73" s="243" t="str">
        <f>IF(AND($C73&lt;&gt;"",$K73&lt;&gt;"Full Refresher"),'G2 FIL Reading Scoresheet'!$Q75,"")</f>
        <v/>
      </c>
      <c r="N73" s="243" t="str">
        <f>IF(AND($C73&lt;&gt;"",K73&lt;&gt;"Full Refresher"),'G2 FIL Reading Scoresheet'!$R75/6,"")</f>
        <v/>
      </c>
      <c r="O73" s="57" t="str">
        <f>IF(AND(C73&lt;&gt;"",K73&lt;&gt;"Full Refresher"),'G2 FIL Reading Scoresheet'!$P75,"")</f>
        <v/>
      </c>
      <c r="P73" s="246" t="str">
        <f>'G2 FIL Reading Scoresheet'!$U75</f>
        <v/>
      </c>
      <c r="Q73" s="52" t="str">
        <f>CONCATENATE(IF(ISBLANK('G2 MT Reading Scoresheet'!V75),"",CONCATENATE("MT:",TRIM('G2 MT Reading Scoresheet'!V75)))," ",IF(ISBLANK('G2 FIL Reading Scoresheet'!V75),"",CONCATENATE("FIL:",TRIM('G2 FIL Reading Scoresheet'!V75))))</f>
        <v xml:space="preserve"> </v>
      </c>
    </row>
    <row r="74" spans="1:17" x14ac:dyDescent="0.3">
      <c r="A74" s="44">
        <f t="shared" si="0"/>
        <v>66</v>
      </c>
      <c r="B74" s="45" t="str">
        <f>IF('G2 MT Reading Scoresheet'!B76&lt;&gt;"",'G2 MT Reading Scoresheet'!B76,"")</f>
        <v/>
      </c>
      <c r="C74" s="46" t="str">
        <f>IF('G2 MT Reading Scoresheet'!C76&lt;&gt;"",'G2 MT Reading Scoresheet'!C76,"")</f>
        <v/>
      </c>
      <c r="D74" s="47" t="str">
        <f>IF('G2 MT Reading Scoresheet'!D76&lt;&gt;"",'G2 MT Reading Scoresheet'!D76,"")</f>
        <v/>
      </c>
      <c r="E74" s="210" t="str">
        <f>'G2 MT Reading Scoresheet'!$J76</f>
        <v/>
      </c>
      <c r="F74" s="241" t="str">
        <f>IF(C74&lt;&gt;"",'G2 MT Reading Scoresheet'!$I76/30,"")</f>
        <v/>
      </c>
      <c r="G74" s="241" t="str">
        <f>IF(AND($C74&lt;&gt;"",$E74&lt;&gt;"Full Refresher"),'G2 MT Reading Scoresheet'!$Q76,"")</f>
        <v/>
      </c>
      <c r="H74" s="241" t="str">
        <f>IF(AND(C74&lt;&gt;"",E74&lt;&gt;"Full Refresher"),'G2 MT Reading Scoresheet'!$R76/6,"")</f>
        <v/>
      </c>
      <c r="I74" s="210" t="str">
        <f>IF(AND(D74&lt;&gt;"",F74&lt;&gt;"Full Refresher"),'G2 MT Reading Scoresheet'!$P76,"")</f>
        <v/>
      </c>
      <c r="J74" s="245" t="str">
        <f>'G2 MT Reading Scoresheet'!$U76</f>
        <v/>
      </c>
      <c r="K74" s="57" t="str">
        <f>'G2 FIL Reading Scoresheet'!$J76</f>
        <v/>
      </c>
      <c r="L74" s="243" t="str">
        <f>IF($C74&lt;&gt;"",'G2 FIL Reading Scoresheet'!$I76/30,"")</f>
        <v/>
      </c>
      <c r="M74" s="243" t="str">
        <f>IF(AND($C74&lt;&gt;"",$K74&lt;&gt;"Full Refresher"),'G2 FIL Reading Scoresheet'!$Q76,"")</f>
        <v/>
      </c>
      <c r="N74" s="243" t="str">
        <f>IF(AND($C74&lt;&gt;"",K74&lt;&gt;"Full Refresher"),'G2 FIL Reading Scoresheet'!$R76/6,"")</f>
        <v/>
      </c>
      <c r="O74" s="57" t="str">
        <f>IF(AND(C74&lt;&gt;"",K74&lt;&gt;"Full Refresher"),'G2 FIL Reading Scoresheet'!$P76,"")</f>
        <v/>
      </c>
      <c r="P74" s="246" t="str">
        <f>'G2 FIL Reading Scoresheet'!$U76</f>
        <v/>
      </c>
      <c r="Q74" s="48" t="str">
        <f>CONCATENATE(IF(ISBLANK('G2 MT Reading Scoresheet'!V76),"",CONCATENATE("MT:",TRIM('G2 MT Reading Scoresheet'!V76)))," ",IF(ISBLANK('G2 FIL Reading Scoresheet'!V76),"",CONCATENATE("FIL:",TRIM('G2 FIL Reading Scoresheet'!V76))))</f>
        <v xml:space="preserve"> </v>
      </c>
    </row>
    <row r="75" spans="1:17" x14ac:dyDescent="0.3">
      <c r="A75" s="43">
        <f t="shared" si="0"/>
        <v>67</v>
      </c>
      <c r="B75" s="49" t="str">
        <f>IF('G2 MT Reading Scoresheet'!B77&lt;&gt;"",'G2 MT Reading Scoresheet'!B77,"")</f>
        <v/>
      </c>
      <c r="C75" s="50" t="str">
        <f>IF('G2 MT Reading Scoresheet'!C77&lt;&gt;"",'G2 MT Reading Scoresheet'!C77,"")</f>
        <v/>
      </c>
      <c r="D75" s="51" t="str">
        <f>IF('G2 MT Reading Scoresheet'!D77&lt;&gt;"",'G2 MT Reading Scoresheet'!D77,"")</f>
        <v/>
      </c>
      <c r="E75" s="210" t="str">
        <f>'G2 MT Reading Scoresheet'!$J77</f>
        <v/>
      </c>
      <c r="F75" s="241" t="str">
        <f>IF(C75&lt;&gt;"",'G2 MT Reading Scoresheet'!$I77/30,"")</f>
        <v/>
      </c>
      <c r="G75" s="241" t="str">
        <f>IF(AND($C75&lt;&gt;"",$E75&lt;&gt;"Full Refresher"),'G2 MT Reading Scoresheet'!$Q77,"")</f>
        <v/>
      </c>
      <c r="H75" s="241" t="str">
        <f>IF(AND(C75&lt;&gt;"",E75&lt;&gt;"Full Refresher"),'G2 MT Reading Scoresheet'!$R77/6,"")</f>
        <v/>
      </c>
      <c r="I75" s="210" t="str">
        <f>IF(AND(D75&lt;&gt;"",F75&lt;&gt;"Full Refresher"),'G2 MT Reading Scoresheet'!$P77,"")</f>
        <v/>
      </c>
      <c r="J75" s="245" t="str">
        <f>'G2 MT Reading Scoresheet'!$U77</f>
        <v/>
      </c>
      <c r="K75" s="57" t="str">
        <f>'G2 FIL Reading Scoresheet'!$J77</f>
        <v/>
      </c>
      <c r="L75" s="243" t="str">
        <f>IF($C75&lt;&gt;"",'G2 FIL Reading Scoresheet'!$I77/30,"")</f>
        <v/>
      </c>
      <c r="M75" s="243" t="str">
        <f>IF(AND($C75&lt;&gt;"",$K75&lt;&gt;"Full Refresher"),'G2 FIL Reading Scoresheet'!$Q77,"")</f>
        <v/>
      </c>
      <c r="N75" s="243" t="str">
        <f>IF(AND($C75&lt;&gt;"",K75&lt;&gt;"Full Refresher"),'G2 FIL Reading Scoresheet'!$R77/6,"")</f>
        <v/>
      </c>
      <c r="O75" s="57" t="str">
        <f>IF(AND(C75&lt;&gt;"",K75&lt;&gt;"Full Refresher"),'G2 FIL Reading Scoresheet'!$P77,"")</f>
        <v/>
      </c>
      <c r="P75" s="246" t="str">
        <f>'G2 FIL Reading Scoresheet'!$U77</f>
        <v/>
      </c>
      <c r="Q75" s="52" t="str">
        <f>CONCATENATE(IF(ISBLANK('G2 MT Reading Scoresheet'!V77),"",CONCATENATE("MT:",TRIM('G2 MT Reading Scoresheet'!V77)))," ",IF(ISBLANK('G2 FIL Reading Scoresheet'!V77),"",CONCATENATE("FIL:",TRIM('G2 FIL Reading Scoresheet'!V77))))</f>
        <v xml:space="preserve"> </v>
      </c>
    </row>
    <row r="76" spans="1:17" x14ac:dyDescent="0.3">
      <c r="A76" s="44">
        <f t="shared" si="0"/>
        <v>68</v>
      </c>
      <c r="B76" s="45" t="str">
        <f>IF('G2 MT Reading Scoresheet'!B78&lt;&gt;"",'G2 MT Reading Scoresheet'!B78,"")</f>
        <v/>
      </c>
      <c r="C76" s="46" t="str">
        <f>IF('G2 MT Reading Scoresheet'!C78&lt;&gt;"",'G2 MT Reading Scoresheet'!C78,"")</f>
        <v/>
      </c>
      <c r="D76" s="47" t="str">
        <f>IF('G2 MT Reading Scoresheet'!D78&lt;&gt;"",'G2 MT Reading Scoresheet'!D78,"")</f>
        <v/>
      </c>
      <c r="E76" s="210" t="str">
        <f>'G2 MT Reading Scoresheet'!$J78</f>
        <v/>
      </c>
      <c r="F76" s="241" t="str">
        <f>IF(C76&lt;&gt;"",'G2 MT Reading Scoresheet'!$I78/30,"")</f>
        <v/>
      </c>
      <c r="G76" s="241" t="str">
        <f>IF(AND($C76&lt;&gt;"",$E76&lt;&gt;"Full Refresher"),'G2 MT Reading Scoresheet'!$Q78,"")</f>
        <v/>
      </c>
      <c r="H76" s="241" t="str">
        <f>IF(AND(C76&lt;&gt;"",E76&lt;&gt;"Full Refresher"),'G2 MT Reading Scoresheet'!$R78/6,"")</f>
        <v/>
      </c>
      <c r="I76" s="210" t="str">
        <f>IF(AND(D76&lt;&gt;"",F76&lt;&gt;"Full Refresher"),'G2 MT Reading Scoresheet'!$P78,"")</f>
        <v/>
      </c>
      <c r="J76" s="245" t="str">
        <f>'G2 MT Reading Scoresheet'!$U78</f>
        <v/>
      </c>
      <c r="K76" s="57" t="str">
        <f>'G2 FIL Reading Scoresheet'!$J78</f>
        <v/>
      </c>
      <c r="L76" s="243" t="str">
        <f>IF($C76&lt;&gt;"",'G2 FIL Reading Scoresheet'!$I78/30,"")</f>
        <v/>
      </c>
      <c r="M76" s="243" t="str">
        <f>IF(AND($C76&lt;&gt;"",$K76&lt;&gt;"Full Refresher"),'G2 FIL Reading Scoresheet'!$Q78,"")</f>
        <v/>
      </c>
      <c r="N76" s="243" t="str">
        <f>IF(AND($C76&lt;&gt;"",K76&lt;&gt;"Full Refresher"),'G2 FIL Reading Scoresheet'!$R78/6,"")</f>
        <v/>
      </c>
      <c r="O76" s="57" t="str">
        <f>IF(AND(C76&lt;&gt;"",K76&lt;&gt;"Full Refresher"),'G2 FIL Reading Scoresheet'!$P78,"")</f>
        <v/>
      </c>
      <c r="P76" s="246" t="str">
        <f>'G2 FIL Reading Scoresheet'!$U78</f>
        <v/>
      </c>
      <c r="Q76" s="48" t="str">
        <f>CONCATENATE(IF(ISBLANK('G2 MT Reading Scoresheet'!V78),"",CONCATENATE("MT:",TRIM('G2 MT Reading Scoresheet'!V78)))," ",IF(ISBLANK('G2 FIL Reading Scoresheet'!V78),"",CONCATENATE("FIL:",TRIM('G2 FIL Reading Scoresheet'!V78))))</f>
        <v xml:space="preserve"> </v>
      </c>
    </row>
    <row r="77" spans="1:17" x14ac:dyDescent="0.3">
      <c r="A77" s="43">
        <f t="shared" si="0"/>
        <v>69</v>
      </c>
      <c r="B77" s="49" t="str">
        <f>IF('G2 MT Reading Scoresheet'!B79&lt;&gt;"",'G2 MT Reading Scoresheet'!B79,"")</f>
        <v/>
      </c>
      <c r="C77" s="50" t="str">
        <f>IF('G2 MT Reading Scoresheet'!C79&lt;&gt;"",'G2 MT Reading Scoresheet'!C79,"")</f>
        <v/>
      </c>
      <c r="D77" s="51" t="str">
        <f>IF('G2 MT Reading Scoresheet'!D79&lt;&gt;"",'G2 MT Reading Scoresheet'!D79,"")</f>
        <v/>
      </c>
      <c r="E77" s="210" t="str">
        <f>'G2 MT Reading Scoresheet'!$J79</f>
        <v/>
      </c>
      <c r="F77" s="241" t="str">
        <f>IF(C77&lt;&gt;"",'G2 MT Reading Scoresheet'!$I79/30,"")</f>
        <v/>
      </c>
      <c r="G77" s="241" t="str">
        <f>IF(AND($C77&lt;&gt;"",$E77&lt;&gt;"Full Refresher"),'G2 MT Reading Scoresheet'!$Q79,"")</f>
        <v/>
      </c>
      <c r="H77" s="241" t="str">
        <f>IF(AND(C77&lt;&gt;"",E77&lt;&gt;"Full Refresher"),'G2 MT Reading Scoresheet'!$R79/6,"")</f>
        <v/>
      </c>
      <c r="I77" s="210" t="str">
        <f>IF(AND(D77&lt;&gt;"",F77&lt;&gt;"Full Refresher"),'G2 MT Reading Scoresheet'!$P79,"")</f>
        <v/>
      </c>
      <c r="J77" s="245" t="str">
        <f>'G2 MT Reading Scoresheet'!$U79</f>
        <v/>
      </c>
      <c r="K77" s="57" t="str">
        <f>'G2 FIL Reading Scoresheet'!$J79</f>
        <v/>
      </c>
      <c r="L77" s="243" t="str">
        <f>IF($C77&lt;&gt;"",'G2 FIL Reading Scoresheet'!$I79/30,"")</f>
        <v/>
      </c>
      <c r="M77" s="243" t="str">
        <f>IF(AND($C77&lt;&gt;"",$K77&lt;&gt;"Full Refresher"),'G2 FIL Reading Scoresheet'!$Q79,"")</f>
        <v/>
      </c>
      <c r="N77" s="243" t="str">
        <f>IF(AND($C77&lt;&gt;"",K77&lt;&gt;"Full Refresher"),'G2 FIL Reading Scoresheet'!$R79/6,"")</f>
        <v/>
      </c>
      <c r="O77" s="57" t="str">
        <f>IF(AND(C77&lt;&gt;"",K77&lt;&gt;"Full Refresher"),'G2 FIL Reading Scoresheet'!$P79,"")</f>
        <v/>
      </c>
      <c r="P77" s="246" t="str">
        <f>'G2 FIL Reading Scoresheet'!$U79</f>
        <v/>
      </c>
      <c r="Q77" s="52" t="str">
        <f>CONCATENATE(IF(ISBLANK('G2 MT Reading Scoresheet'!V79),"",CONCATENATE("MT:",TRIM('G2 MT Reading Scoresheet'!V79)))," ",IF(ISBLANK('G2 FIL Reading Scoresheet'!V79),"",CONCATENATE("FIL:",TRIM('G2 FIL Reading Scoresheet'!V79))))</f>
        <v xml:space="preserve"> </v>
      </c>
    </row>
    <row r="78" spans="1:17" x14ac:dyDescent="0.3">
      <c r="A78" s="44">
        <f t="shared" si="0"/>
        <v>70</v>
      </c>
      <c r="B78" s="45" t="str">
        <f>IF('G2 MT Reading Scoresheet'!B80&lt;&gt;"",'G2 MT Reading Scoresheet'!B80,"")</f>
        <v/>
      </c>
      <c r="C78" s="46" t="str">
        <f>IF('G2 MT Reading Scoresheet'!C80&lt;&gt;"",'G2 MT Reading Scoresheet'!C80,"")</f>
        <v/>
      </c>
      <c r="D78" s="47" t="str">
        <f>IF('G2 MT Reading Scoresheet'!D80&lt;&gt;"",'G2 MT Reading Scoresheet'!D80,"")</f>
        <v/>
      </c>
      <c r="E78" s="210" t="str">
        <f>'G2 MT Reading Scoresheet'!$J80</f>
        <v/>
      </c>
      <c r="F78" s="241" t="str">
        <f>IF(C78&lt;&gt;"",'G2 MT Reading Scoresheet'!$I80/30,"")</f>
        <v/>
      </c>
      <c r="G78" s="241" t="str">
        <f>IF(AND($C78&lt;&gt;"",$E78&lt;&gt;"Full Refresher"),'G2 MT Reading Scoresheet'!$Q80,"")</f>
        <v/>
      </c>
      <c r="H78" s="241" t="str">
        <f>IF(AND(C78&lt;&gt;"",E78&lt;&gt;"Full Refresher"),'G2 MT Reading Scoresheet'!$R80/6,"")</f>
        <v/>
      </c>
      <c r="I78" s="210" t="str">
        <f>IF(AND(D78&lt;&gt;"",F78&lt;&gt;"Full Refresher"),'G2 MT Reading Scoresheet'!$P80,"")</f>
        <v/>
      </c>
      <c r="J78" s="245" t="str">
        <f>'G2 MT Reading Scoresheet'!$U80</f>
        <v/>
      </c>
      <c r="K78" s="57" t="str">
        <f>'G2 FIL Reading Scoresheet'!$J80</f>
        <v/>
      </c>
      <c r="L78" s="243" t="str">
        <f>IF($C78&lt;&gt;"",'G2 FIL Reading Scoresheet'!$I80/30,"")</f>
        <v/>
      </c>
      <c r="M78" s="243" t="str">
        <f>IF(AND($C78&lt;&gt;"",$K78&lt;&gt;"Full Refresher"),'G2 FIL Reading Scoresheet'!$Q80,"")</f>
        <v/>
      </c>
      <c r="N78" s="243" t="str">
        <f>IF(AND($C78&lt;&gt;"",K78&lt;&gt;"Full Refresher"),'G2 FIL Reading Scoresheet'!$R80/6,"")</f>
        <v/>
      </c>
      <c r="O78" s="57" t="str">
        <f>IF(AND(C78&lt;&gt;"",K78&lt;&gt;"Full Refresher"),'G2 FIL Reading Scoresheet'!$P80,"")</f>
        <v/>
      </c>
      <c r="P78" s="246" t="str">
        <f>'G2 FIL Reading Scoresheet'!$U80</f>
        <v/>
      </c>
      <c r="Q78" s="48" t="str">
        <f>CONCATENATE(IF(ISBLANK('G2 MT Reading Scoresheet'!V80),"",CONCATENATE("MT:",TRIM('G2 MT Reading Scoresheet'!V80)))," ",IF(ISBLANK('G2 FIL Reading Scoresheet'!V80),"",CONCATENATE("FIL:",TRIM('G2 FIL Reading Scoresheet'!V80))))</f>
        <v xml:space="preserve"> </v>
      </c>
    </row>
    <row r="79" spans="1:17" x14ac:dyDescent="0.3">
      <c r="A79" s="43">
        <f t="shared" si="0"/>
        <v>71</v>
      </c>
      <c r="B79" s="49" t="str">
        <f>IF('G2 MT Reading Scoresheet'!B81&lt;&gt;"",'G2 MT Reading Scoresheet'!B81,"")</f>
        <v/>
      </c>
      <c r="C79" s="50" t="str">
        <f>IF('G2 MT Reading Scoresheet'!C81&lt;&gt;"",'G2 MT Reading Scoresheet'!C81,"")</f>
        <v/>
      </c>
      <c r="D79" s="51" t="str">
        <f>IF('G2 MT Reading Scoresheet'!D81&lt;&gt;"",'G2 MT Reading Scoresheet'!D81,"")</f>
        <v/>
      </c>
      <c r="E79" s="210" t="str">
        <f>'G2 MT Reading Scoresheet'!$J81</f>
        <v/>
      </c>
      <c r="F79" s="241" t="str">
        <f>IF(C79&lt;&gt;"",'G2 MT Reading Scoresheet'!$I81/30,"")</f>
        <v/>
      </c>
      <c r="G79" s="241" t="str">
        <f>IF(AND($C79&lt;&gt;"",$E79&lt;&gt;"Full Refresher"),'G2 MT Reading Scoresheet'!$Q81,"")</f>
        <v/>
      </c>
      <c r="H79" s="241" t="str">
        <f>IF(AND(C79&lt;&gt;"",E79&lt;&gt;"Full Refresher"),'G2 MT Reading Scoresheet'!$R81/6,"")</f>
        <v/>
      </c>
      <c r="I79" s="210" t="str">
        <f>IF(AND(D79&lt;&gt;"",F79&lt;&gt;"Full Refresher"),'G2 MT Reading Scoresheet'!$P81,"")</f>
        <v/>
      </c>
      <c r="J79" s="245" t="str">
        <f>'G2 MT Reading Scoresheet'!$U81</f>
        <v/>
      </c>
      <c r="K79" s="57" t="str">
        <f>'G2 FIL Reading Scoresheet'!$J81</f>
        <v/>
      </c>
      <c r="L79" s="243" t="str">
        <f>IF($C79&lt;&gt;"",'G2 FIL Reading Scoresheet'!$I81/30,"")</f>
        <v/>
      </c>
      <c r="M79" s="243" t="str">
        <f>IF(AND($C79&lt;&gt;"",$K79&lt;&gt;"Full Refresher"),'G2 FIL Reading Scoresheet'!$Q81,"")</f>
        <v/>
      </c>
      <c r="N79" s="243" t="str">
        <f>IF(AND($C79&lt;&gt;"",K79&lt;&gt;"Full Refresher"),'G2 FIL Reading Scoresheet'!$R81/6,"")</f>
        <v/>
      </c>
      <c r="O79" s="57" t="str">
        <f>IF(AND(C79&lt;&gt;"",K79&lt;&gt;"Full Refresher"),'G2 FIL Reading Scoresheet'!$P81,"")</f>
        <v/>
      </c>
      <c r="P79" s="246" t="str">
        <f>'G2 FIL Reading Scoresheet'!$U81</f>
        <v/>
      </c>
      <c r="Q79" s="52" t="str">
        <f>CONCATENATE(IF(ISBLANK('G2 MT Reading Scoresheet'!V81),"",CONCATENATE("MT:",TRIM('G2 MT Reading Scoresheet'!V81)))," ",IF(ISBLANK('G2 FIL Reading Scoresheet'!V81),"",CONCATENATE("FIL:",TRIM('G2 FIL Reading Scoresheet'!V81))))</f>
        <v xml:space="preserve"> </v>
      </c>
    </row>
    <row r="80" spans="1:17" x14ac:dyDescent="0.3">
      <c r="A80" s="44">
        <f t="shared" si="0"/>
        <v>72</v>
      </c>
      <c r="B80" s="45" t="str">
        <f>IF('G2 MT Reading Scoresheet'!B82&lt;&gt;"",'G2 MT Reading Scoresheet'!B82,"")</f>
        <v/>
      </c>
      <c r="C80" s="46" t="str">
        <f>IF('G2 MT Reading Scoresheet'!C82&lt;&gt;"",'G2 MT Reading Scoresheet'!C82,"")</f>
        <v/>
      </c>
      <c r="D80" s="47" t="str">
        <f>IF('G2 MT Reading Scoresheet'!D82&lt;&gt;"",'G2 MT Reading Scoresheet'!D82,"")</f>
        <v/>
      </c>
      <c r="E80" s="210" t="str">
        <f>'G2 MT Reading Scoresheet'!$J82</f>
        <v/>
      </c>
      <c r="F80" s="241" t="str">
        <f>IF(C80&lt;&gt;"",'G2 MT Reading Scoresheet'!$I82/30,"")</f>
        <v/>
      </c>
      <c r="G80" s="241" t="str">
        <f>IF(AND($C80&lt;&gt;"",$E80&lt;&gt;"Full Refresher"),'G2 MT Reading Scoresheet'!$Q82,"")</f>
        <v/>
      </c>
      <c r="H80" s="241" t="str">
        <f>IF(AND(C80&lt;&gt;"",E80&lt;&gt;"Full Refresher"),'G2 MT Reading Scoresheet'!$R82/6,"")</f>
        <v/>
      </c>
      <c r="I80" s="210" t="str">
        <f>IF(AND(D80&lt;&gt;"",F80&lt;&gt;"Full Refresher"),'G2 MT Reading Scoresheet'!$P82,"")</f>
        <v/>
      </c>
      <c r="J80" s="245" t="str">
        <f>'G2 MT Reading Scoresheet'!$U82</f>
        <v/>
      </c>
      <c r="K80" s="57" t="str">
        <f>'G2 FIL Reading Scoresheet'!$J82</f>
        <v/>
      </c>
      <c r="L80" s="243" t="str">
        <f>IF($C80&lt;&gt;"",'G2 FIL Reading Scoresheet'!$I82/30,"")</f>
        <v/>
      </c>
      <c r="M80" s="243" t="str">
        <f>IF(AND($C80&lt;&gt;"",$K80&lt;&gt;"Full Refresher"),'G2 FIL Reading Scoresheet'!$Q82,"")</f>
        <v/>
      </c>
      <c r="N80" s="243" t="str">
        <f>IF(AND($C80&lt;&gt;"",K80&lt;&gt;"Full Refresher"),'G2 FIL Reading Scoresheet'!$R82/6,"")</f>
        <v/>
      </c>
      <c r="O80" s="57" t="str">
        <f>IF(AND(C80&lt;&gt;"",K80&lt;&gt;"Full Refresher"),'G2 FIL Reading Scoresheet'!$P82,"")</f>
        <v/>
      </c>
      <c r="P80" s="246" t="str">
        <f>'G2 FIL Reading Scoresheet'!$U82</f>
        <v/>
      </c>
      <c r="Q80" s="48" t="str">
        <f>CONCATENATE(IF(ISBLANK('G2 MT Reading Scoresheet'!V82),"",CONCATENATE("MT:",TRIM('G2 MT Reading Scoresheet'!V82)))," ",IF(ISBLANK('G2 FIL Reading Scoresheet'!V82),"",CONCATENATE("FIL:",TRIM('G2 FIL Reading Scoresheet'!V82))))</f>
        <v xml:space="preserve"> </v>
      </c>
    </row>
    <row r="81" spans="1:17" x14ac:dyDescent="0.3">
      <c r="A81" s="43">
        <f t="shared" si="0"/>
        <v>73</v>
      </c>
      <c r="B81" s="49" t="str">
        <f>IF('G2 MT Reading Scoresheet'!B83&lt;&gt;"",'G2 MT Reading Scoresheet'!B83,"")</f>
        <v/>
      </c>
      <c r="C81" s="50" t="str">
        <f>IF('G2 MT Reading Scoresheet'!C83&lt;&gt;"",'G2 MT Reading Scoresheet'!C83,"")</f>
        <v/>
      </c>
      <c r="D81" s="51" t="str">
        <f>IF('G2 MT Reading Scoresheet'!D83&lt;&gt;"",'G2 MT Reading Scoresheet'!D83,"")</f>
        <v/>
      </c>
      <c r="E81" s="210" t="str">
        <f>'G2 MT Reading Scoresheet'!$J83</f>
        <v/>
      </c>
      <c r="F81" s="241" t="str">
        <f>IF(C81&lt;&gt;"",'G2 MT Reading Scoresheet'!$I83/30,"")</f>
        <v/>
      </c>
      <c r="G81" s="241" t="str">
        <f>IF(AND($C81&lt;&gt;"",$E81&lt;&gt;"Full Refresher"),'G2 MT Reading Scoresheet'!$Q83,"")</f>
        <v/>
      </c>
      <c r="H81" s="241" t="str">
        <f>IF(AND(C81&lt;&gt;"",E81&lt;&gt;"Full Refresher"),'G2 MT Reading Scoresheet'!$R83/6,"")</f>
        <v/>
      </c>
      <c r="I81" s="210" t="str">
        <f>IF(AND(D81&lt;&gt;"",F81&lt;&gt;"Full Refresher"),'G2 MT Reading Scoresheet'!$P83,"")</f>
        <v/>
      </c>
      <c r="J81" s="245" t="str">
        <f>'G2 MT Reading Scoresheet'!$U83</f>
        <v/>
      </c>
      <c r="K81" s="57" t="str">
        <f>'G2 FIL Reading Scoresheet'!$J83</f>
        <v/>
      </c>
      <c r="L81" s="243" t="str">
        <f>IF($C81&lt;&gt;"",'G2 FIL Reading Scoresheet'!$I83/30,"")</f>
        <v/>
      </c>
      <c r="M81" s="243" t="str">
        <f>IF(AND($C81&lt;&gt;"",$K81&lt;&gt;"Full Refresher"),'G2 FIL Reading Scoresheet'!$Q83,"")</f>
        <v/>
      </c>
      <c r="N81" s="243" t="str">
        <f>IF(AND($C81&lt;&gt;"",K81&lt;&gt;"Full Refresher"),'G2 FIL Reading Scoresheet'!$R83/6,"")</f>
        <v/>
      </c>
      <c r="O81" s="57" t="str">
        <f>IF(AND(C81&lt;&gt;"",K81&lt;&gt;"Full Refresher"),'G2 FIL Reading Scoresheet'!$P83,"")</f>
        <v/>
      </c>
      <c r="P81" s="246" t="str">
        <f>'G2 FIL Reading Scoresheet'!$U83</f>
        <v/>
      </c>
      <c r="Q81" s="52" t="str">
        <f>CONCATENATE(IF(ISBLANK('G2 MT Reading Scoresheet'!V83),"",CONCATENATE("MT:",TRIM('G2 MT Reading Scoresheet'!V83)))," ",IF(ISBLANK('G2 FIL Reading Scoresheet'!V83),"",CONCATENATE("FIL:",TRIM('G2 FIL Reading Scoresheet'!V83))))</f>
        <v xml:space="preserve"> </v>
      </c>
    </row>
    <row r="82" spans="1:17" x14ac:dyDescent="0.3">
      <c r="A82" s="44">
        <f t="shared" si="0"/>
        <v>74</v>
      </c>
      <c r="B82" s="45" t="str">
        <f>IF('G2 MT Reading Scoresheet'!B84&lt;&gt;"",'G2 MT Reading Scoresheet'!B84,"")</f>
        <v/>
      </c>
      <c r="C82" s="46" t="str">
        <f>IF('G2 MT Reading Scoresheet'!C84&lt;&gt;"",'G2 MT Reading Scoresheet'!C84,"")</f>
        <v/>
      </c>
      <c r="D82" s="47" t="str">
        <f>IF('G2 MT Reading Scoresheet'!D84&lt;&gt;"",'G2 MT Reading Scoresheet'!D84,"")</f>
        <v/>
      </c>
      <c r="E82" s="210" t="str">
        <f>'G2 MT Reading Scoresheet'!$J84</f>
        <v/>
      </c>
      <c r="F82" s="241" t="str">
        <f>IF(C82&lt;&gt;"",'G2 MT Reading Scoresheet'!$I84/30,"")</f>
        <v/>
      </c>
      <c r="G82" s="241" t="str">
        <f>IF(AND($C82&lt;&gt;"",$E82&lt;&gt;"Full Refresher"),'G2 MT Reading Scoresheet'!$Q84,"")</f>
        <v/>
      </c>
      <c r="H82" s="241" t="str">
        <f>IF(AND(C82&lt;&gt;"",E82&lt;&gt;"Full Refresher"),'G2 MT Reading Scoresheet'!$R84/6,"")</f>
        <v/>
      </c>
      <c r="I82" s="210" t="str">
        <f>IF(AND(D82&lt;&gt;"",F82&lt;&gt;"Full Refresher"),'G2 MT Reading Scoresheet'!$P84,"")</f>
        <v/>
      </c>
      <c r="J82" s="245" t="str">
        <f>'G2 MT Reading Scoresheet'!$U84</f>
        <v/>
      </c>
      <c r="K82" s="57" t="str">
        <f>'G2 FIL Reading Scoresheet'!$J84</f>
        <v/>
      </c>
      <c r="L82" s="243" t="str">
        <f>IF($C82&lt;&gt;"",'G2 FIL Reading Scoresheet'!$I84/30,"")</f>
        <v/>
      </c>
      <c r="M82" s="243" t="str">
        <f>IF(AND($C82&lt;&gt;"",$K82&lt;&gt;"Full Refresher"),'G2 FIL Reading Scoresheet'!$Q84,"")</f>
        <v/>
      </c>
      <c r="N82" s="243" t="str">
        <f>IF(AND($C82&lt;&gt;"",K82&lt;&gt;"Full Refresher"),'G2 FIL Reading Scoresheet'!$R84/6,"")</f>
        <v/>
      </c>
      <c r="O82" s="57" t="str">
        <f>IF(AND(C82&lt;&gt;"",K82&lt;&gt;"Full Refresher"),'G2 FIL Reading Scoresheet'!$P84,"")</f>
        <v/>
      </c>
      <c r="P82" s="246" t="str">
        <f>'G2 FIL Reading Scoresheet'!$U84</f>
        <v/>
      </c>
      <c r="Q82" s="48" t="str">
        <f>CONCATENATE(IF(ISBLANK('G2 MT Reading Scoresheet'!V84),"",CONCATENATE("MT:",TRIM('G2 MT Reading Scoresheet'!V84)))," ",IF(ISBLANK('G2 FIL Reading Scoresheet'!V84),"",CONCATENATE("FIL:",TRIM('G2 FIL Reading Scoresheet'!V84))))</f>
        <v xml:space="preserve"> </v>
      </c>
    </row>
    <row r="83" spans="1:17" x14ac:dyDescent="0.3">
      <c r="A83" s="43">
        <f t="shared" si="0"/>
        <v>75</v>
      </c>
      <c r="B83" s="49" t="str">
        <f>IF('G2 MT Reading Scoresheet'!B85&lt;&gt;"",'G2 MT Reading Scoresheet'!B85,"")</f>
        <v/>
      </c>
      <c r="C83" s="50" t="str">
        <f>IF('G2 MT Reading Scoresheet'!C85&lt;&gt;"",'G2 MT Reading Scoresheet'!C85,"")</f>
        <v/>
      </c>
      <c r="D83" s="51" t="str">
        <f>IF('G2 MT Reading Scoresheet'!D85&lt;&gt;"",'G2 MT Reading Scoresheet'!D85,"")</f>
        <v/>
      </c>
      <c r="E83" s="210" t="str">
        <f>'G2 MT Reading Scoresheet'!$J85</f>
        <v/>
      </c>
      <c r="F83" s="241" t="str">
        <f>IF(C83&lt;&gt;"",'G2 MT Reading Scoresheet'!$I85/30,"")</f>
        <v/>
      </c>
      <c r="G83" s="241" t="str">
        <f>IF(AND($C83&lt;&gt;"",$E83&lt;&gt;"Full Refresher"),'G2 MT Reading Scoresheet'!$Q85,"")</f>
        <v/>
      </c>
      <c r="H83" s="241" t="str">
        <f>IF(AND(C83&lt;&gt;"",E83&lt;&gt;"Full Refresher"),'G2 MT Reading Scoresheet'!$R85/6,"")</f>
        <v/>
      </c>
      <c r="I83" s="210" t="str">
        <f>IF(AND(D83&lt;&gt;"",F83&lt;&gt;"Full Refresher"),'G2 MT Reading Scoresheet'!$P85,"")</f>
        <v/>
      </c>
      <c r="J83" s="245" t="str">
        <f>'G2 MT Reading Scoresheet'!$U85</f>
        <v/>
      </c>
      <c r="K83" s="57" t="str">
        <f>'G2 FIL Reading Scoresheet'!$J85</f>
        <v/>
      </c>
      <c r="L83" s="243" t="str">
        <f>IF($C83&lt;&gt;"",'G2 FIL Reading Scoresheet'!$I85/30,"")</f>
        <v/>
      </c>
      <c r="M83" s="243" t="str">
        <f>IF(AND($C83&lt;&gt;"",$K83&lt;&gt;"Full Refresher"),'G2 FIL Reading Scoresheet'!$Q85,"")</f>
        <v/>
      </c>
      <c r="N83" s="243" t="str">
        <f>IF(AND($C83&lt;&gt;"",K83&lt;&gt;"Full Refresher"),'G2 FIL Reading Scoresheet'!$R85/6,"")</f>
        <v/>
      </c>
      <c r="O83" s="57" t="str">
        <f>IF(AND(C83&lt;&gt;"",K83&lt;&gt;"Full Refresher"),'G2 FIL Reading Scoresheet'!$P85,"")</f>
        <v/>
      </c>
      <c r="P83" s="246" t="str">
        <f>'G2 FIL Reading Scoresheet'!$U85</f>
        <v/>
      </c>
      <c r="Q83" s="52" t="str">
        <f>CONCATENATE(IF(ISBLANK('G2 MT Reading Scoresheet'!V85),"",CONCATENATE("MT:",TRIM('G2 MT Reading Scoresheet'!V85)))," ",IF(ISBLANK('G2 FIL Reading Scoresheet'!V85),"",CONCATENATE("FIL:",TRIM('G2 FIL Reading Scoresheet'!V85))))</f>
        <v xml:space="preserve"> </v>
      </c>
    </row>
    <row r="84" spans="1:17" x14ac:dyDescent="0.3">
      <c r="A84" s="44">
        <f t="shared" si="0"/>
        <v>76</v>
      </c>
      <c r="B84" s="45" t="str">
        <f>IF('G2 MT Reading Scoresheet'!B86&lt;&gt;"",'G2 MT Reading Scoresheet'!B86,"")</f>
        <v/>
      </c>
      <c r="C84" s="46" t="str">
        <f>IF('G2 MT Reading Scoresheet'!C86&lt;&gt;"",'G2 MT Reading Scoresheet'!C86,"")</f>
        <v/>
      </c>
      <c r="D84" s="47" t="str">
        <f>IF('G2 MT Reading Scoresheet'!D86&lt;&gt;"",'G2 MT Reading Scoresheet'!D86,"")</f>
        <v/>
      </c>
      <c r="E84" s="210" t="str">
        <f>'G2 MT Reading Scoresheet'!$J86</f>
        <v/>
      </c>
      <c r="F84" s="241" t="str">
        <f>IF(C84&lt;&gt;"",'G2 MT Reading Scoresheet'!$I86/30,"")</f>
        <v/>
      </c>
      <c r="G84" s="241" t="str">
        <f>IF(AND($C84&lt;&gt;"",$E84&lt;&gt;"Full Refresher"),'G2 MT Reading Scoresheet'!$Q86,"")</f>
        <v/>
      </c>
      <c r="H84" s="241" t="str">
        <f>IF(AND(C84&lt;&gt;"",E84&lt;&gt;"Full Refresher"),'G2 MT Reading Scoresheet'!$R86/6,"")</f>
        <v/>
      </c>
      <c r="I84" s="210" t="str">
        <f>IF(AND(D84&lt;&gt;"",F84&lt;&gt;"Full Refresher"),'G2 MT Reading Scoresheet'!$P86,"")</f>
        <v/>
      </c>
      <c r="J84" s="245" t="str">
        <f>'G2 MT Reading Scoresheet'!$U86</f>
        <v/>
      </c>
      <c r="K84" s="57" t="str">
        <f>'G2 FIL Reading Scoresheet'!$J86</f>
        <v/>
      </c>
      <c r="L84" s="243" t="str">
        <f>IF($C84&lt;&gt;"",'G2 FIL Reading Scoresheet'!$I86/30,"")</f>
        <v/>
      </c>
      <c r="M84" s="243" t="str">
        <f>IF(AND($C84&lt;&gt;"",$K84&lt;&gt;"Full Refresher"),'G2 FIL Reading Scoresheet'!$Q86,"")</f>
        <v/>
      </c>
      <c r="N84" s="243" t="str">
        <f>IF(AND($C84&lt;&gt;"",K84&lt;&gt;"Full Refresher"),'G2 FIL Reading Scoresheet'!$R86/6,"")</f>
        <v/>
      </c>
      <c r="O84" s="57" t="str">
        <f>IF(AND(C84&lt;&gt;"",K84&lt;&gt;"Full Refresher"),'G2 FIL Reading Scoresheet'!$P86,"")</f>
        <v/>
      </c>
      <c r="P84" s="246" t="str">
        <f>'G2 FIL Reading Scoresheet'!$U86</f>
        <v/>
      </c>
      <c r="Q84" s="48" t="str">
        <f>CONCATENATE(IF(ISBLANK('G2 MT Reading Scoresheet'!V86),"",CONCATENATE("MT:",TRIM('G2 MT Reading Scoresheet'!V86)))," ",IF(ISBLANK('G2 FIL Reading Scoresheet'!V86),"",CONCATENATE("FIL:",TRIM('G2 FIL Reading Scoresheet'!V86))))</f>
        <v xml:space="preserve"> </v>
      </c>
    </row>
    <row r="85" spans="1:17" x14ac:dyDescent="0.3">
      <c r="A85" s="43">
        <f t="shared" si="0"/>
        <v>77</v>
      </c>
      <c r="B85" s="49" t="str">
        <f>IF('G2 MT Reading Scoresheet'!B87&lt;&gt;"",'G2 MT Reading Scoresheet'!B87,"")</f>
        <v/>
      </c>
      <c r="C85" s="50" t="str">
        <f>IF('G2 MT Reading Scoresheet'!C87&lt;&gt;"",'G2 MT Reading Scoresheet'!C87,"")</f>
        <v/>
      </c>
      <c r="D85" s="51" t="str">
        <f>IF('G2 MT Reading Scoresheet'!D87&lt;&gt;"",'G2 MT Reading Scoresheet'!D87,"")</f>
        <v/>
      </c>
      <c r="E85" s="210" t="str">
        <f>'G2 MT Reading Scoresheet'!$J87</f>
        <v/>
      </c>
      <c r="F85" s="241" t="str">
        <f>IF(C85&lt;&gt;"",'G2 MT Reading Scoresheet'!$I87/30,"")</f>
        <v/>
      </c>
      <c r="G85" s="241" t="str">
        <f>IF(AND($C85&lt;&gt;"",$E85&lt;&gt;"Full Refresher"),'G2 MT Reading Scoresheet'!$Q87,"")</f>
        <v/>
      </c>
      <c r="H85" s="241" t="str">
        <f>IF(AND(C85&lt;&gt;"",E85&lt;&gt;"Full Refresher"),'G2 MT Reading Scoresheet'!$R87/6,"")</f>
        <v/>
      </c>
      <c r="I85" s="210" t="str">
        <f>IF(AND(D85&lt;&gt;"",F85&lt;&gt;"Full Refresher"),'G2 MT Reading Scoresheet'!$P87,"")</f>
        <v/>
      </c>
      <c r="J85" s="245" t="str">
        <f>'G2 MT Reading Scoresheet'!$U87</f>
        <v/>
      </c>
      <c r="K85" s="57" t="str">
        <f>'G2 FIL Reading Scoresheet'!$J87</f>
        <v/>
      </c>
      <c r="L85" s="243" t="str">
        <f>IF($C85&lt;&gt;"",'G2 FIL Reading Scoresheet'!$I87/30,"")</f>
        <v/>
      </c>
      <c r="M85" s="243" t="str">
        <f>IF(AND($C85&lt;&gt;"",$K85&lt;&gt;"Full Refresher"),'G2 FIL Reading Scoresheet'!$Q87,"")</f>
        <v/>
      </c>
      <c r="N85" s="243" t="str">
        <f>IF(AND($C85&lt;&gt;"",K85&lt;&gt;"Full Refresher"),'G2 FIL Reading Scoresheet'!$R87/6,"")</f>
        <v/>
      </c>
      <c r="O85" s="57" t="str">
        <f>IF(AND(C85&lt;&gt;"",K85&lt;&gt;"Full Refresher"),'G2 FIL Reading Scoresheet'!$P87,"")</f>
        <v/>
      </c>
      <c r="P85" s="246" t="str">
        <f>'G2 FIL Reading Scoresheet'!$U87</f>
        <v/>
      </c>
      <c r="Q85" s="52" t="str">
        <f>CONCATENATE(IF(ISBLANK('G2 MT Reading Scoresheet'!V87),"",CONCATENATE("MT:",TRIM('G2 MT Reading Scoresheet'!V87)))," ",IF(ISBLANK('G2 FIL Reading Scoresheet'!V87),"",CONCATENATE("FIL:",TRIM('G2 FIL Reading Scoresheet'!V87))))</f>
        <v xml:space="preserve"> </v>
      </c>
    </row>
    <row r="86" spans="1:17" x14ac:dyDescent="0.3">
      <c r="A86" s="44">
        <f t="shared" si="0"/>
        <v>78</v>
      </c>
      <c r="B86" s="45" t="str">
        <f>IF('G2 MT Reading Scoresheet'!B88&lt;&gt;"",'G2 MT Reading Scoresheet'!B88,"")</f>
        <v/>
      </c>
      <c r="C86" s="46" t="str">
        <f>IF('G2 MT Reading Scoresheet'!C88&lt;&gt;"",'G2 MT Reading Scoresheet'!C88,"")</f>
        <v/>
      </c>
      <c r="D86" s="47" t="str">
        <f>IF('G2 MT Reading Scoresheet'!D88&lt;&gt;"",'G2 MT Reading Scoresheet'!D88,"")</f>
        <v/>
      </c>
      <c r="E86" s="210" t="str">
        <f>'G2 MT Reading Scoresheet'!$J88</f>
        <v/>
      </c>
      <c r="F86" s="241" t="str">
        <f>IF(C86&lt;&gt;"",'G2 MT Reading Scoresheet'!$I88/30,"")</f>
        <v/>
      </c>
      <c r="G86" s="241" t="str">
        <f>IF(AND($C86&lt;&gt;"",$E86&lt;&gt;"Full Refresher"),'G2 MT Reading Scoresheet'!$Q88,"")</f>
        <v/>
      </c>
      <c r="H86" s="241" t="str">
        <f>IF(AND(C86&lt;&gt;"",E86&lt;&gt;"Full Refresher"),'G2 MT Reading Scoresheet'!$R88/6,"")</f>
        <v/>
      </c>
      <c r="I86" s="210" t="str">
        <f>IF(AND(D86&lt;&gt;"",F86&lt;&gt;"Full Refresher"),'G2 MT Reading Scoresheet'!$P88,"")</f>
        <v/>
      </c>
      <c r="J86" s="245" t="str">
        <f>'G2 MT Reading Scoresheet'!$U88</f>
        <v/>
      </c>
      <c r="K86" s="57" t="str">
        <f>'G2 FIL Reading Scoresheet'!$J88</f>
        <v/>
      </c>
      <c r="L86" s="243" t="str">
        <f>IF($C86&lt;&gt;"",'G2 FIL Reading Scoresheet'!$I88/30,"")</f>
        <v/>
      </c>
      <c r="M86" s="243" t="str">
        <f>IF(AND($C86&lt;&gt;"",$K86&lt;&gt;"Full Refresher"),'G2 FIL Reading Scoresheet'!$Q88,"")</f>
        <v/>
      </c>
      <c r="N86" s="243" t="str">
        <f>IF(AND($C86&lt;&gt;"",K86&lt;&gt;"Full Refresher"),'G2 FIL Reading Scoresheet'!$R88/6,"")</f>
        <v/>
      </c>
      <c r="O86" s="57" t="str">
        <f>IF(AND(C86&lt;&gt;"",K86&lt;&gt;"Full Refresher"),'G2 FIL Reading Scoresheet'!$P88,"")</f>
        <v/>
      </c>
      <c r="P86" s="246" t="str">
        <f>'G2 FIL Reading Scoresheet'!$U88</f>
        <v/>
      </c>
      <c r="Q86" s="48" t="str">
        <f>CONCATENATE(IF(ISBLANK('G2 MT Reading Scoresheet'!V88),"",CONCATENATE("MT:",TRIM('G2 MT Reading Scoresheet'!V88)))," ",IF(ISBLANK('G2 FIL Reading Scoresheet'!V88),"",CONCATENATE("FIL:",TRIM('G2 FIL Reading Scoresheet'!V88))))</f>
        <v xml:space="preserve"> </v>
      </c>
    </row>
    <row r="87" spans="1:17" x14ac:dyDescent="0.3">
      <c r="A87" s="43">
        <f t="shared" si="0"/>
        <v>79</v>
      </c>
      <c r="B87" s="49" t="str">
        <f>IF('G2 MT Reading Scoresheet'!B89&lt;&gt;"",'G2 MT Reading Scoresheet'!B89,"")</f>
        <v/>
      </c>
      <c r="C87" s="50" t="str">
        <f>IF('G2 MT Reading Scoresheet'!C89&lt;&gt;"",'G2 MT Reading Scoresheet'!C89,"")</f>
        <v/>
      </c>
      <c r="D87" s="51" t="str">
        <f>IF('G2 MT Reading Scoresheet'!D89&lt;&gt;"",'G2 MT Reading Scoresheet'!D89,"")</f>
        <v/>
      </c>
      <c r="E87" s="210" t="str">
        <f>'G2 MT Reading Scoresheet'!$J89</f>
        <v/>
      </c>
      <c r="F87" s="241" t="str">
        <f>IF(C87&lt;&gt;"",'G2 MT Reading Scoresheet'!$I89/30,"")</f>
        <v/>
      </c>
      <c r="G87" s="241" t="str">
        <f>IF(AND($C87&lt;&gt;"",$E87&lt;&gt;"Full Refresher"),'G2 MT Reading Scoresheet'!$Q89,"")</f>
        <v/>
      </c>
      <c r="H87" s="241" t="str">
        <f>IF(AND(C87&lt;&gt;"",E87&lt;&gt;"Full Refresher"),'G2 MT Reading Scoresheet'!$R89/6,"")</f>
        <v/>
      </c>
      <c r="I87" s="210" t="str">
        <f>IF(AND(D87&lt;&gt;"",F87&lt;&gt;"Full Refresher"),'G2 MT Reading Scoresheet'!$P89,"")</f>
        <v/>
      </c>
      <c r="J87" s="245" t="str">
        <f>'G2 MT Reading Scoresheet'!$U89</f>
        <v/>
      </c>
      <c r="K87" s="57" t="str">
        <f>'G2 FIL Reading Scoresheet'!$J89</f>
        <v/>
      </c>
      <c r="L87" s="243" t="str">
        <f>IF($C87&lt;&gt;"",'G2 FIL Reading Scoresheet'!$I89/30,"")</f>
        <v/>
      </c>
      <c r="M87" s="243" t="str">
        <f>IF(AND($C87&lt;&gt;"",$K87&lt;&gt;"Full Refresher"),'G2 FIL Reading Scoresheet'!$Q89,"")</f>
        <v/>
      </c>
      <c r="N87" s="243" t="str">
        <f>IF(AND($C87&lt;&gt;"",K87&lt;&gt;"Full Refresher"),'G2 FIL Reading Scoresheet'!$R89/6,"")</f>
        <v/>
      </c>
      <c r="O87" s="57" t="str">
        <f>IF(AND(C87&lt;&gt;"",K87&lt;&gt;"Full Refresher"),'G2 FIL Reading Scoresheet'!$P89,"")</f>
        <v/>
      </c>
      <c r="P87" s="246" t="str">
        <f>'G2 FIL Reading Scoresheet'!$U89</f>
        <v/>
      </c>
      <c r="Q87" s="52" t="str">
        <f>CONCATENATE(IF(ISBLANK('G2 MT Reading Scoresheet'!V89),"",CONCATENATE("MT:",TRIM('G2 MT Reading Scoresheet'!V89)))," ",IF(ISBLANK('G2 FIL Reading Scoresheet'!V89),"",CONCATENATE("FIL:",TRIM('G2 FIL Reading Scoresheet'!V89))))</f>
        <v xml:space="preserve"> </v>
      </c>
    </row>
    <row r="88" spans="1:17" x14ac:dyDescent="0.3">
      <c r="A88" s="44">
        <f t="shared" si="0"/>
        <v>80</v>
      </c>
      <c r="B88" s="45" t="str">
        <f>IF('G2 MT Reading Scoresheet'!B90&lt;&gt;"",'G2 MT Reading Scoresheet'!B90,"")</f>
        <v/>
      </c>
      <c r="C88" s="46" t="str">
        <f>IF('G2 MT Reading Scoresheet'!C90&lt;&gt;"",'G2 MT Reading Scoresheet'!C90,"")</f>
        <v/>
      </c>
      <c r="D88" s="47" t="str">
        <f>IF('G2 MT Reading Scoresheet'!D90&lt;&gt;"",'G2 MT Reading Scoresheet'!D90,"")</f>
        <v/>
      </c>
      <c r="E88" s="210" t="str">
        <f>'G2 MT Reading Scoresheet'!$J90</f>
        <v/>
      </c>
      <c r="F88" s="241" t="str">
        <f>IF(C88&lt;&gt;"",'G2 MT Reading Scoresheet'!$I90/30,"")</f>
        <v/>
      </c>
      <c r="G88" s="241" t="str">
        <f>IF(AND($C88&lt;&gt;"",$E88&lt;&gt;"Full Refresher"),'G2 MT Reading Scoresheet'!$Q90,"")</f>
        <v/>
      </c>
      <c r="H88" s="241" t="str">
        <f>IF(AND(C88&lt;&gt;"",E88&lt;&gt;"Full Refresher"),'G2 MT Reading Scoresheet'!$R90/6,"")</f>
        <v/>
      </c>
      <c r="I88" s="210" t="str">
        <f>IF(AND(D88&lt;&gt;"",F88&lt;&gt;"Full Refresher"),'G2 MT Reading Scoresheet'!$P90,"")</f>
        <v/>
      </c>
      <c r="J88" s="245" t="str">
        <f>'G2 MT Reading Scoresheet'!$U90</f>
        <v/>
      </c>
      <c r="K88" s="57" t="str">
        <f>'G2 FIL Reading Scoresheet'!$J90</f>
        <v/>
      </c>
      <c r="L88" s="243" t="str">
        <f>IF($C88&lt;&gt;"",'G2 FIL Reading Scoresheet'!$I90/30,"")</f>
        <v/>
      </c>
      <c r="M88" s="243" t="str">
        <f>IF(AND($C88&lt;&gt;"",$K88&lt;&gt;"Full Refresher"),'G2 FIL Reading Scoresheet'!$Q90,"")</f>
        <v/>
      </c>
      <c r="N88" s="243" t="str">
        <f>IF(AND($C88&lt;&gt;"",K88&lt;&gt;"Full Refresher"),'G2 FIL Reading Scoresheet'!$R90/6,"")</f>
        <v/>
      </c>
      <c r="O88" s="57" t="str">
        <f>IF(AND(C88&lt;&gt;"",K88&lt;&gt;"Full Refresher"),'G2 FIL Reading Scoresheet'!$P90,"")</f>
        <v/>
      </c>
      <c r="P88" s="246" t="str">
        <f>'G2 FIL Reading Scoresheet'!$U90</f>
        <v/>
      </c>
      <c r="Q88" s="48" t="str">
        <f>CONCATENATE(IF(ISBLANK('G2 MT Reading Scoresheet'!V90),"",CONCATENATE("MT:",TRIM('G2 MT Reading Scoresheet'!V90)))," ",IF(ISBLANK('G2 FIL Reading Scoresheet'!V90),"",CONCATENATE("FIL:",TRIM('G2 FIL Reading Scoresheet'!V90))))</f>
        <v xml:space="preserve"> </v>
      </c>
    </row>
    <row r="89" spans="1:17" x14ac:dyDescent="0.3">
      <c r="A89" s="43">
        <f t="shared" si="0"/>
        <v>81</v>
      </c>
      <c r="B89" s="49" t="str">
        <f>IF('G2 MT Reading Scoresheet'!B91&lt;&gt;"",'G2 MT Reading Scoresheet'!B91,"")</f>
        <v/>
      </c>
      <c r="C89" s="50" t="str">
        <f>IF('G2 MT Reading Scoresheet'!C91&lt;&gt;"",'G2 MT Reading Scoresheet'!C91,"")</f>
        <v/>
      </c>
      <c r="D89" s="51" t="str">
        <f>IF('G2 MT Reading Scoresheet'!D91&lt;&gt;"",'G2 MT Reading Scoresheet'!D91,"")</f>
        <v/>
      </c>
      <c r="E89" s="210" t="str">
        <f>'G2 MT Reading Scoresheet'!$J91</f>
        <v/>
      </c>
      <c r="F89" s="241" t="str">
        <f>IF(C89&lt;&gt;"",'G2 MT Reading Scoresheet'!$I91/30,"")</f>
        <v/>
      </c>
      <c r="G89" s="241" t="str">
        <f>IF(AND($C89&lt;&gt;"",$E89&lt;&gt;"Full Refresher"),'G2 MT Reading Scoresheet'!$Q91,"")</f>
        <v/>
      </c>
      <c r="H89" s="241" t="str">
        <f>IF(AND(C89&lt;&gt;"",E89&lt;&gt;"Full Refresher"),'G2 MT Reading Scoresheet'!$R91/6,"")</f>
        <v/>
      </c>
      <c r="I89" s="210" t="str">
        <f>IF(AND(D89&lt;&gt;"",F89&lt;&gt;"Full Refresher"),'G2 MT Reading Scoresheet'!$P91,"")</f>
        <v/>
      </c>
      <c r="J89" s="245" t="str">
        <f>'G2 MT Reading Scoresheet'!$U91</f>
        <v/>
      </c>
      <c r="K89" s="57" t="str">
        <f>'G2 FIL Reading Scoresheet'!$J91</f>
        <v/>
      </c>
      <c r="L89" s="243" t="str">
        <f>IF($C89&lt;&gt;"",'G2 FIL Reading Scoresheet'!$I91/30,"")</f>
        <v/>
      </c>
      <c r="M89" s="243" t="str">
        <f>IF(AND($C89&lt;&gt;"",$K89&lt;&gt;"Full Refresher"),'G2 FIL Reading Scoresheet'!$Q91,"")</f>
        <v/>
      </c>
      <c r="N89" s="243" t="str">
        <f>IF(AND($C89&lt;&gt;"",K89&lt;&gt;"Full Refresher"),'G2 FIL Reading Scoresheet'!$R91/6,"")</f>
        <v/>
      </c>
      <c r="O89" s="57" t="str">
        <f>IF(AND(C89&lt;&gt;"",K89&lt;&gt;"Full Refresher"),'G2 FIL Reading Scoresheet'!$P91,"")</f>
        <v/>
      </c>
      <c r="P89" s="246" t="str">
        <f>'G2 FIL Reading Scoresheet'!$U91</f>
        <v/>
      </c>
      <c r="Q89" s="52" t="str">
        <f>CONCATENATE(IF(ISBLANK('G2 MT Reading Scoresheet'!V91),"",CONCATENATE("MT:",TRIM('G2 MT Reading Scoresheet'!V91)))," ",IF(ISBLANK('G2 FIL Reading Scoresheet'!V91),"",CONCATENATE("FIL:",TRIM('G2 FIL Reading Scoresheet'!V91))))</f>
        <v xml:space="preserve"> </v>
      </c>
    </row>
    <row r="90" spans="1:17" x14ac:dyDescent="0.3">
      <c r="A90" s="44">
        <f t="shared" si="0"/>
        <v>82</v>
      </c>
      <c r="B90" s="45" t="str">
        <f>IF('G2 MT Reading Scoresheet'!B92&lt;&gt;"",'G2 MT Reading Scoresheet'!B92,"")</f>
        <v/>
      </c>
      <c r="C90" s="46" t="str">
        <f>IF('G2 MT Reading Scoresheet'!C92&lt;&gt;"",'G2 MT Reading Scoresheet'!C92,"")</f>
        <v/>
      </c>
      <c r="D90" s="47" t="str">
        <f>IF('G2 MT Reading Scoresheet'!D92&lt;&gt;"",'G2 MT Reading Scoresheet'!D92,"")</f>
        <v/>
      </c>
      <c r="E90" s="210" t="str">
        <f>'G2 MT Reading Scoresheet'!$J92</f>
        <v/>
      </c>
      <c r="F90" s="241" t="str">
        <f>IF(C90&lt;&gt;"",'G2 MT Reading Scoresheet'!$I92/30,"")</f>
        <v/>
      </c>
      <c r="G90" s="241" t="str">
        <f>IF(AND($C90&lt;&gt;"",$E90&lt;&gt;"Full Refresher"),'G2 MT Reading Scoresheet'!$Q92,"")</f>
        <v/>
      </c>
      <c r="H90" s="241" t="str">
        <f>IF(AND(C90&lt;&gt;"",E90&lt;&gt;"Full Refresher"),'G2 MT Reading Scoresheet'!$R92/6,"")</f>
        <v/>
      </c>
      <c r="I90" s="210" t="str">
        <f>IF(AND(D90&lt;&gt;"",F90&lt;&gt;"Full Refresher"),'G2 MT Reading Scoresheet'!$P92,"")</f>
        <v/>
      </c>
      <c r="J90" s="245" t="str">
        <f>'G2 MT Reading Scoresheet'!$U92</f>
        <v/>
      </c>
      <c r="K90" s="57" t="str">
        <f>'G2 FIL Reading Scoresheet'!$J92</f>
        <v/>
      </c>
      <c r="L90" s="243" t="str">
        <f>IF($C90&lt;&gt;"",'G2 FIL Reading Scoresheet'!$I92/30,"")</f>
        <v/>
      </c>
      <c r="M90" s="243" t="str">
        <f>IF(AND($C90&lt;&gt;"",$K90&lt;&gt;"Full Refresher"),'G2 FIL Reading Scoresheet'!$Q92,"")</f>
        <v/>
      </c>
      <c r="N90" s="243" t="str">
        <f>IF(AND($C90&lt;&gt;"",K90&lt;&gt;"Full Refresher"),'G2 FIL Reading Scoresheet'!$R92/6,"")</f>
        <v/>
      </c>
      <c r="O90" s="57" t="str">
        <f>IF(AND(C90&lt;&gt;"",K90&lt;&gt;"Full Refresher"),'G2 FIL Reading Scoresheet'!$P92,"")</f>
        <v/>
      </c>
      <c r="P90" s="246" t="str">
        <f>'G2 FIL Reading Scoresheet'!$U92</f>
        <v/>
      </c>
      <c r="Q90" s="48" t="str">
        <f>CONCATENATE(IF(ISBLANK('G2 MT Reading Scoresheet'!V92),"",CONCATENATE("MT:",TRIM('G2 MT Reading Scoresheet'!V92)))," ",IF(ISBLANK('G2 FIL Reading Scoresheet'!V92),"",CONCATENATE("FIL:",TRIM('G2 FIL Reading Scoresheet'!V92))))</f>
        <v xml:space="preserve"> </v>
      </c>
    </row>
    <row r="91" spans="1:17" x14ac:dyDescent="0.3">
      <c r="A91" s="43">
        <f t="shared" si="0"/>
        <v>83</v>
      </c>
      <c r="B91" s="49" t="str">
        <f>IF('G2 MT Reading Scoresheet'!B93&lt;&gt;"",'G2 MT Reading Scoresheet'!B93,"")</f>
        <v/>
      </c>
      <c r="C91" s="50" t="str">
        <f>IF('G2 MT Reading Scoresheet'!C93&lt;&gt;"",'G2 MT Reading Scoresheet'!C93,"")</f>
        <v/>
      </c>
      <c r="D91" s="51" t="str">
        <f>IF('G2 MT Reading Scoresheet'!D93&lt;&gt;"",'G2 MT Reading Scoresheet'!D93,"")</f>
        <v/>
      </c>
      <c r="E91" s="210" t="str">
        <f>'G2 MT Reading Scoresheet'!$J93</f>
        <v/>
      </c>
      <c r="F91" s="241" t="str">
        <f>IF(C91&lt;&gt;"",'G2 MT Reading Scoresheet'!$I93/30,"")</f>
        <v/>
      </c>
      <c r="G91" s="241" t="str">
        <f>IF(AND($C91&lt;&gt;"",$E91&lt;&gt;"Full Refresher"),'G2 MT Reading Scoresheet'!$Q93,"")</f>
        <v/>
      </c>
      <c r="H91" s="241" t="str">
        <f>IF(AND(C91&lt;&gt;"",E91&lt;&gt;"Full Refresher"),'G2 MT Reading Scoresheet'!$R93/6,"")</f>
        <v/>
      </c>
      <c r="I91" s="210" t="str">
        <f>IF(AND(D91&lt;&gt;"",F91&lt;&gt;"Full Refresher"),'G2 MT Reading Scoresheet'!$P93,"")</f>
        <v/>
      </c>
      <c r="J91" s="245" t="str">
        <f>'G2 MT Reading Scoresheet'!$U93</f>
        <v/>
      </c>
      <c r="K91" s="57" t="str">
        <f>'G2 FIL Reading Scoresheet'!$J93</f>
        <v/>
      </c>
      <c r="L91" s="243" t="str">
        <f>IF($C91&lt;&gt;"",'G2 FIL Reading Scoresheet'!$I93/30,"")</f>
        <v/>
      </c>
      <c r="M91" s="243" t="str">
        <f>IF(AND($C91&lt;&gt;"",$K91&lt;&gt;"Full Refresher"),'G2 FIL Reading Scoresheet'!$Q93,"")</f>
        <v/>
      </c>
      <c r="N91" s="243" t="str">
        <f>IF(AND($C91&lt;&gt;"",K91&lt;&gt;"Full Refresher"),'G2 FIL Reading Scoresheet'!$R93/6,"")</f>
        <v/>
      </c>
      <c r="O91" s="57" t="str">
        <f>IF(AND(C91&lt;&gt;"",K91&lt;&gt;"Full Refresher"),'G2 FIL Reading Scoresheet'!$P93,"")</f>
        <v/>
      </c>
      <c r="P91" s="246" t="str">
        <f>'G2 FIL Reading Scoresheet'!$U93</f>
        <v/>
      </c>
      <c r="Q91" s="52" t="str">
        <f>CONCATENATE(IF(ISBLANK('G2 MT Reading Scoresheet'!V93),"",CONCATENATE("MT:",TRIM('G2 MT Reading Scoresheet'!V93)))," ",IF(ISBLANK('G2 FIL Reading Scoresheet'!V93),"",CONCATENATE("FIL:",TRIM('G2 FIL Reading Scoresheet'!V93))))</f>
        <v xml:space="preserve"> </v>
      </c>
    </row>
    <row r="92" spans="1:17" x14ac:dyDescent="0.3">
      <c r="A92" s="44">
        <f t="shared" si="0"/>
        <v>84</v>
      </c>
      <c r="B92" s="45" t="str">
        <f>IF('G2 MT Reading Scoresheet'!B94&lt;&gt;"",'G2 MT Reading Scoresheet'!B94,"")</f>
        <v/>
      </c>
      <c r="C92" s="46" t="str">
        <f>IF('G2 MT Reading Scoresheet'!C94&lt;&gt;"",'G2 MT Reading Scoresheet'!C94,"")</f>
        <v/>
      </c>
      <c r="D92" s="47" t="str">
        <f>IF('G2 MT Reading Scoresheet'!D94&lt;&gt;"",'G2 MT Reading Scoresheet'!D94,"")</f>
        <v/>
      </c>
      <c r="E92" s="210" t="str">
        <f>'G2 MT Reading Scoresheet'!$J94</f>
        <v/>
      </c>
      <c r="F92" s="241" t="str">
        <f>IF(C92&lt;&gt;"",'G2 MT Reading Scoresheet'!$I94/30,"")</f>
        <v/>
      </c>
      <c r="G92" s="241" t="str">
        <f>IF(AND($C92&lt;&gt;"",$E92&lt;&gt;"Full Refresher"),'G2 MT Reading Scoresheet'!$Q94,"")</f>
        <v/>
      </c>
      <c r="H92" s="241" t="str">
        <f>IF(AND(C92&lt;&gt;"",E92&lt;&gt;"Full Refresher"),'G2 MT Reading Scoresheet'!$R94/6,"")</f>
        <v/>
      </c>
      <c r="I92" s="210" t="str">
        <f>IF(AND(D92&lt;&gt;"",F92&lt;&gt;"Full Refresher"),'G2 MT Reading Scoresheet'!$P94,"")</f>
        <v/>
      </c>
      <c r="J92" s="245" t="str">
        <f>'G2 MT Reading Scoresheet'!$U94</f>
        <v/>
      </c>
      <c r="K92" s="57" t="str">
        <f>'G2 FIL Reading Scoresheet'!$J94</f>
        <v/>
      </c>
      <c r="L92" s="243" t="str">
        <f>IF($C92&lt;&gt;"",'G2 FIL Reading Scoresheet'!$I94/30,"")</f>
        <v/>
      </c>
      <c r="M92" s="243" t="str">
        <f>IF(AND($C92&lt;&gt;"",$K92&lt;&gt;"Full Refresher"),'G2 FIL Reading Scoresheet'!$Q94,"")</f>
        <v/>
      </c>
      <c r="N92" s="243" t="str">
        <f>IF(AND($C92&lt;&gt;"",K92&lt;&gt;"Full Refresher"),'G2 FIL Reading Scoresheet'!$R94/6,"")</f>
        <v/>
      </c>
      <c r="O92" s="57" t="str">
        <f>IF(AND(C92&lt;&gt;"",K92&lt;&gt;"Full Refresher"),'G2 FIL Reading Scoresheet'!$P94,"")</f>
        <v/>
      </c>
      <c r="P92" s="246" t="str">
        <f>'G2 FIL Reading Scoresheet'!$U94</f>
        <v/>
      </c>
      <c r="Q92" s="48" t="str">
        <f>CONCATENATE(IF(ISBLANK('G2 MT Reading Scoresheet'!V94),"",CONCATENATE("MT:",TRIM('G2 MT Reading Scoresheet'!V94)))," ",IF(ISBLANK('G2 FIL Reading Scoresheet'!V94),"",CONCATENATE("FIL:",TRIM('G2 FIL Reading Scoresheet'!V94))))</f>
        <v xml:space="preserve"> </v>
      </c>
    </row>
    <row r="93" spans="1:17" x14ac:dyDescent="0.3">
      <c r="A93" s="43">
        <f t="shared" si="0"/>
        <v>85</v>
      </c>
      <c r="B93" s="49" t="str">
        <f>IF('G2 MT Reading Scoresheet'!B95&lt;&gt;"",'G2 MT Reading Scoresheet'!B95,"")</f>
        <v/>
      </c>
      <c r="C93" s="50" t="str">
        <f>IF('G2 MT Reading Scoresheet'!C95&lt;&gt;"",'G2 MT Reading Scoresheet'!C95,"")</f>
        <v/>
      </c>
      <c r="D93" s="51" t="str">
        <f>IF('G2 MT Reading Scoresheet'!D95&lt;&gt;"",'G2 MT Reading Scoresheet'!D95,"")</f>
        <v/>
      </c>
      <c r="E93" s="210" t="str">
        <f>'G2 MT Reading Scoresheet'!$J95</f>
        <v/>
      </c>
      <c r="F93" s="241" t="str">
        <f>IF(C93&lt;&gt;"",'G2 MT Reading Scoresheet'!$I95/30,"")</f>
        <v/>
      </c>
      <c r="G93" s="241" t="str">
        <f>IF(AND($C93&lt;&gt;"",$E93&lt;&gt;"Full Refresher"),'G2 MT Reading Scoresheet'!$Q95,"")</f>
        <v/>
      </c>
      <c r="H93" s="241" t="str">
        <f>IF(AND(C93&lt;&gt;"",E93&lt;&gt;"Full Refresher"),'G2 MT Reading Scoresheet'!$R95/6,"")</f>
        <v/>
      </c>
      <c r="I93" s="210" t="str">
        <f>IF(AND(D93&lt;&gt;"",F93&lt;&gt;"Full Refresher"),'G2 MT Reading Scoresheet'!$P95,"")</f>
        <v/>
      </c>
      <c r="J93" s="245" t="str">
        <f>'G2 MT Reading Scoresheet'!$U95</f>
        <v/>
      </c>
      <c r="K93" s="57" t="str">
        <f>'G2 FIL Reading Scoresheet'!$J95</f>
        <v/>
      </c>
      <c r="L93" s="243" t="str">
        <f>IF($C93&lt;&gt;"",'G2 FIL Reading Scoresheet'!$I95/30,"")</f>
        <v/>
      </c>
      <c r="M93" s="243" t="str">
        <f>IF(AND($C93&lt;&gt;"",$K93&lt;&gt;"Full Refresher"),'G2 FIL Reading Scoresheet'!$Q95,"")</f>
        <v/>
      </c>
      <c r="N93" s="243" t="str">
        <f>IF(AND($C93&lt;&gt;"",K93&lt;&gt;"Full Refresher"),'G2 FIL Reading Scoresheet'!$R95/6,"")</f>
        <v/>
      </c>
      <c r="O93" s="57" t="str">
        <f>IF(AND(C93&lt;&gt;"",K93&lt;&gt;"Full Refresher"),'G2 FIL Reading Scoresheet'!$P95,"")</f>
        <v/>
      </c>
      <c r="P93" s="246" t="str">
        <f>'G2 FIL Reading Scoresheet'!$U95</f>
        <v/>
      </c>
      <c r="Q93" s="52" t="str">
        <f>CONCATENATE(IF(ISBLANK('G2 MT Reading Scoresheet'!V95),"",CONCATENATE("MT:",TRIM('G2 MT Reading Scoresheet'!V95)))," ",IF(ISBLANK('G2 FIL Reading Scoresheet'!V95),"",CONCATENATE("FIL:",TRIM('G2 FIL Reading Scoresheet'!V95))))</f>
        <v xml:space="preserve"> </v>
      </c>
    </row>
    <row r="94" spans="1:17" x14ac:dyDescent="0.3">
      <c r="A94" s="44">
        <f t="shared" si="0"/>
        <v>86</v>
      </c>
      <c r="B94" s="45" t="str">
        <f>IF('G2 MT Reading Scoresheet'!B96&lt;&gt;"",'G2 MT Reading Scoresheet'!B96,"")</f>
        <v/>
      </c>
      <c r="C94" s="46" t="str">
        <f>IF('G2 MT Reading Scoresheet'!C96&lt;&gt;"",'G2 MT Reading Scoresheet'!C96,"")</f>
        <v/>
      </c>
      <c r="D94" s="47" t="str">
        <f>IF('G2 MT Reading Scoresheet'!D96&lt;&gt;"",'G2 MT Reading Scoresheet'!D96,"")</f>
        <v/>
      </c>
      <c r="E94" s="210" t="str">
        <f>'G2 MT Reading Scoresheet'!$J96</f>
        <v/>
      </c>
      <c r="F94" s="241" t="str">
        <f>IF(C94&lt;&gt;"",'G2 MT Reading Scoresheet'!$I96/30,"")</f>
        <v/>
      </c>
      <c r="G94" s="241" t="str">
        <f>IF(AND($C94&lt;&gt;"",$E94&lt;&gt;"Full Refresher"),'G2 MT Reading Scoresheet'!$Q96,"")</f>
        <v/>
      </c>
      <c r="H94" s="241" t="str">
        <f>IF(AND(C94&lt;&gt;"",E94&lt;&gt;"Full Refresher"),'G2 MT Reading Scoresheet'!$R96/6,"")</f>
        <v/>
      </c>
      <c r="I94" s="210" t="str">
        <f>IF(AND(D94&lt;&gt;"",F94&lt;&gt;"Full Refresher"),'G2 MT Reading Scoresheet'!$P96,"")</f>
        <v/>
      </c>
      <c r="J94" s="245" t="str">
        <f>'G2 MT Reading Scoresheet'!$U96</f>
        <v/>
      </c>
      <c r="K94" s="57" t="str">
        <f>'G2 FIL Reading Scoresheet'!$J96</f>
        <v/>
      </c>
      <c r="L94" s="243" t="str">
        <f>IF($C94&lt;&gt;"",'G2 FIL Reading Scoresheet'!$I96/30,"")</f>
        <v/>
      </c>
      <c r="M94" s="243" t="str">
        <f>IF(AND($C94&lt;&gt;"",$K94&lt;&gt;"Full Refresher"),'G2 FIL Reading Scoresheet'!$Q96,"")</f>
        <v/>
      </c>
      <c r="N94" s="243" t="str">
        <f>IF(AND($C94&lt;&gt;"",K94&lt;&gt;"Full Refresher"),'G2 FIL Reading Scoresheet'!$R96/6,"")</f>
        <v/>
      </c>
      <c r="O94" s="57" t="str">
        <f>IF(AND(C94&lt;&gt;"",K94&lt;&gt;"Full Refresher"),'G2 FIL Reading Scoresheet'!$P96,"")</f>
        <v/>
      </c>
      <c r="P94" s="246" t="str">
        <f>'G2 FIL Reading Scoresheet'!$U96</f>
        <v/>
      </c>
      <c r="Q94" s="48" t="str">
        <f>CONCATENATE(IF(ISBLANK('G2 MT Reading Scoresheet'!V96),"",CONCATENATE("MT:",TRIM('G2 MT Reading Scoresheet'!V96)))," ",IF(ISBLANK('G2 FIL Reading Scoresheet'!V96),"",CONCATENATE("FIL:",TRIM('G2 FIL Reading Scoresheet'!V96))))</f>
        <v xml:space="preserve"> </v>
      </c>
    </row>
    <row r="95" spans="1:17" x14ac:dyDescent="0.3">
      <c r="A95" s="43">
        <f t="shared" si="0"/>
        <v>87</v>
      </c>
      <c r="B95" s="49" t="str">
        <f>IF('G2 MT Reading Scoresheet'!B97&lt;&gt;"",'G2 MT Reading Scoresheet'!B97,"")</f>
        <v/>
      </c>
      <c r="C95" s="50" t="str">
        <f>IF('G2 MT Reading Scoresheet'!C97&lt;&gt;"",'G2 MT Reading Scoresheet'!C97,"")</f>
        <v/>
      </c>
      <c r="D95" s="51" t="str">
        <f>IF('G2 MT Reading Scoresheet'!D97&lt;&gt;"",'G2 MT Reading Scoresheet'!D97,"")</f>
        <v/>
      </c>
      <c r="E95" s="210" t="str">
        <f>'G2 MT Reading Scoresheet'!$J97</f>
        <v/>
      </c>
      <c r="F95" s="241" t="str">
        <f>IF(C95&lt;&gt;"",'G2 MT Reading Scoresheet'!$I97/30,"")</f>
        <v/>
      </c>
      <c r="G95" s="241" t="str">
        <f>IF(AND($C95&lt;&gt;"",$E95&lt;&gt;"Full Refresher"),'G2 MT Reading Scoresheet'!$Q97,"")</f>
        <v/>
      </c>
      <c r="H95" s="241" t="str">
        <f>IF(AND(C95&lt;&gt;"",E95&lt;&gt;"Full Refresher"),'G2 MT Reading Scoresheet'!$R97/6,"")</f>
        <v/>
      </c>
      <c r="I95" s="210" t="str">
        <f>IF(AND(D95&lt;&gt;"",F95&lt;&gt;"Full Refresher"),'G2 MT Reading Scoresheet'!$P97,"")</f>
        <v/>
      </c>
      <c r="J95" s="245" t="str">
        <f>'G2 MT Reading Scoresheet'!$U97</f>
        <v/>
      </c>
      <c r="K95" s="57" t="str">
        <f>'G2 FIL Reading Scoresheet'!$J97</f>
        <v/>
      </c>
      <c r="L95" s="243" t="str">
        <f>IF($C95&lt;&gt;"",'G2 FIL Reading Scoresheet'!$I97/30,"")</f>
        <v/>
      </c>
      <c r="M95" s="243" t="str">
        <f>IF(AND($C95&lt;&gt;"",$K95&lt;&gt;"Full Refresher"),'G2 FIL Reading Scoresheet'!$Q97,"")</f>
        <v/>
      </c>
      <c r="N95" s="243" t="str">
        <f>IF(AND($C95&lt;&gt;"",K95&lt;&gt;"Full Refresher"),'G2 FIL Reading Scoresheet'!$R97/6,"")</f>
        <v/>
      </c>
      <c r="O95" s="57" t="str">
        <f>IF(AND(C95&lt;&gt;"",K95&lt;&gt;"Full Refresher"),'G2 FIL Reading Scoresheet'!$P97,"")</f>
        <v/>
      </c>
      <c r="P95" s="246" t="str">
        <f>'G2 FIL Reading Scoresheet'!$U97</f>
        <v/>
      </c>
      <c r="Q95" s="52" t="str">
        <f>CONCATENATE(IF(ISBLANK('G2 MT Reading Scoresheet'!V97),"",CONCATENATE("MT:",TRIM('G2 MT Reading Scoresheet'!V97)))," ",IF(ISBLANK('G2 FIL Reading Scoresheet'!V97),"",CONCATENATE("FIL:",TRIM('G2 FIL Reading Scoresheet'!V97))))</f>
        <v xml:space="preserve"> </v>
      </c>
    </row>
    <row r="96" spans="1:17" x14ac:dyDescent="0.3">
      <c r="A96" s="44">
        <f t="shared" si="0"/>
        <v>88</v>
      </c>
      <c r="B96" s="45" t="str">
        <f>IF('G2 MT Reading Scoresheet'!B98&lt;&gt;"",'G2 MT Reading Scoresheet'!B98,"")</f>
        <v/>
      </c>
      <c r="C96" s="46" t="str">
        <f>IF('G2 MT Reading Scoresheet'!C98&lt;&gt;"",'G2 MT Reading Scoresheet'!C98,"")</f>
        <v/>
      </c>
      <c r="D96" s="47" t="str">
        <f>IF('G2 MT Reading Scoresheet'!D98&lt;&gt;"",'G2 MT Reading Scoresheet'!D98,"")</f>
        <v/>
      </c>
      <c r="E96" s="210" t="str">
        <f>'G2 MT Reading Scoresheet'!$J98</f>
        <v/>
      </c>
      <c r="F96" s="241" t="str">
        <f>IF(C96&lt;&gt;"",'G2 MT Reading Scoresheet'!$I98/30,"")</f>
        <v/>
      </c>
      <c r="G96" s="241" t="str">
        <f>IF(AND($C96&lt;&gt;"",$E96&lt;&gt;"Full Refresher"),'G2 MT Reading Scoresheet'!$Q98,"")</f>
        <v/>
      </c>
      <c r="H96" s="241" t="str">
        <f>IF(AND(C96&lt;&gt;"",E96&lt;&gt;"Full Refresher"),'G2 MT Reading Scoresheet'!$R98/6,"")</f>
        <v/>
      </c>
      <c r="I96" s="210" t="str">
        <f>IF(AND(D96&lt;&gt;"",F96&lt;&gt;"Full Refresher"),'G2 MT Reading Scoresheet'!$P98,"")</f>
        <v/>
      </c>
      <c r="J96" s="245" t="str">
        <f>'G2 MT Reading Scoresheet'!$U98</f>
        <v/>
      </c>
      <c r="K96" s="57" t="str">
        <f>'G2 FIL Reading Scoresheet'!$J98</f>
        <v/>
      </c>
      <c r="L96" s="243" t="str">
        <f>IF($C96&lt;&gt;"",'G2 FIL Reading Scoresheet'!$I98/30,"")</f>
        <v/>
      </c>
      <c r="M96" s="243" t="str">
        <f>IF(AND($C96&lt;&gt;"",$K96&lt;&gt;"Full Refresher"),'G2 FIL Reading Scoresheet'!$Q98,"")</f>
        <v/>
      </c>
      <c r="N96" s="243" t="str">
        <f>IF(AND($C96&lt;&gt;"",K96&lt;&gt;"Full Refresher"),'G2 FIL Reading Scoresheet'!$R98/6,"")</f>
        <v/>
      </c>
      <c r="O96" s="57" t="str">
        <f>IF(AND(C96&lt;&gt;"",K96&lt;&gt;"Full Refresher"),'G2 FIL Reading Scoresheet'!$P98,"")</f>
        <v/>
      </c>
      <c r="P96" s="246" t="str">
        <f>'G2 FIL Reading Scoresheet'!$U98</f>
        <v/>
      </c>
      <c r="Q96" s="48" t="str">
        <f>CONCATENATE(IF(ISBLANK('G2 MT Reading Scoresheet'!V98),"",CONCATENATE("MT:",TRIM('G2 MT Reading Scoresheet'!V98)))," ",IF(ISBLANK('G2 FIL Reading Scoresheet'!V98),"",CONCATENATE("FIL:",TRIM('G2 FIL Reading Scoresheet'!V98))))</f>
        <v xml:space="preserve"> </v>
      </c>
    </row>
    <row r="97" spans="1:17" x14ac:dyDescent="0.3">
      <c r="A97" s="43">
        <f t="shared" si="0"/>
        <v>89</v>
      </c>
      <c r="B97" s="49" t="str">
        <f>IF('G2 MT Reading Scoresheet'!B99&lt;&gt;"",'G2 MT Reading Scoresheet'!B99,"")</f>
        <v/>
      </c>
      <c r="C97" s="50" t="str">
        <f>IF('G2 MT Reading Scoresheet'!C99&lt;&gt;"",'G2 MT Reading Scoresheet'!C99,"")</f>
        <v/>
      </c>
      <c r="D97" s="51" t="str">
        <f>IF('G2 MT Reading Scoresheet'!D99&lt;&gt;"",'G2 MT Reading Scoresheet'!D99,"")</f>
        <v/>
      </c>
      <c r="E97" s="210" t="str">
        <f>'G2 MT Reading Scoresheet'!$J99</f>
        <v/>
      </c>
      <c r="F97" s="241" t="str">
        <f>IF(C97&lt;&gt;"",'G2 MT Reading Scoresheet'!$I99/30,"")</f>
        <v/>
      </c>
      <c r="G97" s="241" t="str">
        <f>IF(AND($C97&lt;&gt;"",$E97&lt;&gt;"Full Refresher"),'G2 MT Reading Scoresheet'!$Q99,"")</f>
        <v/>
      </c>
      <c r="H97" s="241" t="str">
        <f>IF(AND(C97&lt;&gt;"",E97&lt;&gt;"Full Refresher"),'G2 MT Reading Scoresheet'!$R99/6,"")</f>
        <v/>
      </c>
      <c r="I97" s="210" t="str">
        <f>IF(AND(D97&lt;&gt;"",F97&lt;&gt;"Full Refresher"),'G2 MT Reading Scoresheet'!$P99,"")</f>
        <v/>
      </c>
      <c r="J97" s="245" t="str">
        <f>'G2 MT Reading Scoresheet'!$U99</f>
        <v/>
      </c>
      <c r="K97" s="57" t="str">
        <f>'G2 FIL Reading Scoresheet'!$J99</f>
        <v/>
      </c>
      <c r="L97" s="243" t="str">
        <f>IF($C97&lt;&gt;"",'G2 FIL Reading Scoresheet'!$I99/30,"")</f>
        <v/>
      </c>
      <c r="M97" s="243" t="str">
        <f>IF(AND($C97&lt;&gt;"",$K97&lt;&gt;"Full Refresher"),'G2 FIL Reading Scoresheet'!$Q99,"")</f>
        <v/>
      </c>
      <c r="N97" s="243" t="str">
        <f>IF(AND($C97&lt;&gt;"",K97&lt;&gt;"Full Refresher"),'G2 FIL Reading Scoresheet'!$R99/6,"")</f>
        <v/>
      </c>
      <c r="O97" s="57" t="str">
        <f>IF(AND(C97&lt;&gt;"",K97&lt;&gt;"Full Refresher"),'G2 FIL Reading Scoresheet'!$P99,"")</f>
        <v/>
      </c>
      <c r="P97" s="246" t="str">
        <f>'G2 FIL Reading Scoresheet'!$U99</f>
        <v/>
      </c>
      <c r="Q97" s="52" t="str">
        <f>CONCATENATE(IF(ISBLANK('G2 MT Reading Scoresheet'!V99),"",CONCATENATE("MT:",TRIM('G2 MT Reading Scoresheet'!V99)))," ",IF(ISBLANK('G2 FIL Reading Scoresheet'!V99),"",CONCATENATE("FIL:",TRIM('G2 FIL Reading Scoresheet'!V99))))</f>
        <v xml:space="preserve"> </v>
      </c>
    </row>
    <row r="98" spans="1:17" x14ac:dyDescent="0.3">
      <c r="A98" s="44">
        <f t="shared" si="0"/>
        <v>90</v>
      </c>
      <c r="B98" s="45" t="str">
        <f>IF('G2 MT Reading Scoresheet'!B100&lt;&gt;"",'G2 MT Reading Scoresheet'!B100,"")</f>
        <v/>
      </c>
      <c r="C98" s="46" t="str">
        <f>IF('G2 MT Reading Scoresheet'!C100&lt;&gt;"",'G2 MT Reading Scoresheet'!C100,"")</f>
        <v/>
      </c>
      <c r="D98" s="47" t="str">
        <f>IF('G2 MT Reading Scoresheet'!D100&lt;&gt;"",'G2 MT Reading Scoresheet'!D100,"")</f>
        <v/>
      </c>
      <c r="E98" s="210" t="str">
        <f>'G2 MT Reading Scoresheet'!$J100</f>
        <v/>
      </c>
      <c r="F98" s="241" t="str">
        <f>IF(C98&lt;&gt;"",'G2 MT Reading Scoresheet'!$I100/30,"")</f>
        <v/>
      </c>
      <c r="G98" s="241" t="str">
        <f>IF(AND($C98&lt;&gt;"",$E98&lt;&gt;"Full Refresher"),'G2 MT Reading Scoresheet'!$Q100,"")</f>
        <v/>
      </c>
      <c r="H98" s="241" t="str">
        <f>IF(AND(C98&lt;&gt;"",E98&lt;&gt;"Full Refresher"),'G2 MT Reading Scoresheet'!$R100/6,"")</f>
        <v/>
      </c>
      <c r="I98" s="210" t="str">
        <f>IF(AND(D98&lt;&gt;"",F98&lt;&gt;"Full Refresher"),'G2 MT Reading Scoresheet'!$P100,"")</f>
        <v/>
      </c>
      <c r="J98" s="245" t="str">
        <f>'G2 MT Reading Scoresheet'!$U100</f>
        <v/>
      </c>
      <c r="K98" s="57" t="str">
        <f>'G2 FIL Reading Scoresheet'!$J100</f>
        <v/>
      </c>
      <c r="L98" s="243" t="str">
        <f>IF($C98&lt;&gt;"",'G2 FIL Reading Scoresheet'!$I100/30,"")</f>
        <v/>
      </c>
      <c r="M98" s="243" t="str">
        <f>IF(AND($C98&lt;&gt;"",$K98&lt;&gt;"Full Refresher"),'G2 FIL Reading Scoresheet'!$Q100,"")</f>
        <v/>
      </c>
      <c r="N98" s="243" t="str">
        <f>IF(AND($C98&lt;&gt;"",K98&lt;&gt;"Full Refresher"),'G2 FIL Reading Scoresheet'!$R100/6,"")</f>
        <v/>
      </c>
      <c r="O98" s="57" t="str">
        <f>IF(AND(C98&lt;&gt;"",K98&lt;&gt;"Full Refresher"),'G2 FIL Reading Scoresheet'!$P100,"")</f>
        <v/>
      </c>
      <c r="P98" s="246" t="str">
        <f>'G2 FIL Reading Scoresheet'!$U100</f>
        <v/>
      </c>
      <c r="Q98" s="48" t="str">
        <f>CONCATENATE(IF(ISBLANK('G2 MT Reading Scoresheet'!V100),"",CONCATENATE("MT:",TRIM('G2 MT Reading Scoresheet'!V100)))," ",IF(ISBLANK('G2 FIL Reading Scoresheet'!V100),"",CONCATENATE("FIL:",TRIM('G2 FIL Reading Scoresheet'!V100))))</f>
        <v xml:space="preserve"> </v>
      </c>
    </row>
    <row r="99" spans="1:17" x14ac:dyDescent="0.3">
      <c r="A99" s="43">
        <f t="shared" si="0"/>
        <v>91</v>
      </c>
      <c r="B99" s="49" t="str">
        <f>IF('G2 MT Reading Scoresheet'!B101&lt;&gt;"",'G2 MT Reading Scoresheet'!B101,"")</f>
        <v/>
      </c>
      <c r="C99" s="50" t="str">
        <f>IF('G2 MT Reading Scoresheet'!C101&lt;&gt;"",'G2 MT Reading Scoresheet'!C101,"")</f>
        <v/>
      </c>
      <c r="D99" s="51" t="str">
        <f>IF('G2 MT Reading Scoresheet'!D101&lt;&gt;"",'G2 MT Reading Scoresheet'!D101,"")</f>
        <v/>
      </c>
      <c r="E99" s="210" t="str">
        <f>'G2 MT Reading Scoresheet'!$J101</f>
        <v/>
      </c>
      <c r="F99" s="241" t="str">
        <f>IF(C99&lt;&gt;"",'G2 MT Reading Scoresheet'!$I101/30,"")</f>
        <v/>
      </c>
      <c r="G99" s="241" t="str">
        <f>IF(AND($C99&lt;&gt;"",$E99&lt;&gt;"Full Refresher"),'G2 MT Reading Scoresheet'!$Q101,"")</f>
        <v/>
      </c>
      <c r="H99" s="241" t="str">
        <f>IF(AND(C99&lt;&gt;"",E99&lt;&gt;"Full Refresher"),'G2 MT Reading Scoresheet'!$R101/6,"")</f>
        <v/>
      </c>
      <c r="I99" s="210" t="str">
        <f>IF(AND(D99&lt;&gt;"",F99&lt;&gt;"Full Refresher"),'G2 MT Reading Scoresheet'!$P101,"")</f>
        <v/>
      </c>
      <c r="J99" s="245" t="str">
        <f>'G2 MT Reading Scoresheet'!$U101</f>
        <v/>
      </c>
      <c r="K99" s="57" t="str">
        <f>'G2 FIL Reading Scoresheet'!$J101</f>
        <v/>
      </c>
      <c r="L99" s="243" t="str">
        <f>IF($C99&lt;&gt;"",'G2 FIL Reading Scoresheet'!$I101/30,"")</f>
        <v/>
      </c>
      <c r="M99" s="243" t="str">
        <f>IF(AND($C99&lt;&gt;"",$K99&lt;&gt;"Full Refresher"),'G2 FIL Reading Scoresheet'!$Q101,"")</f>
        <v/>
      </c>
      <c r="N99" s="243" t="str">
        <f>IF(AND($C99&lt;&gt;"",K99&lt;&gt;"Full Refresher"),'G2 FIL Reading Scoresheet'!$R101/6,"")</f>
        <v/>
      </c>
      <c r="O99" s="57" t="str">
        <f>IF(AND(C99&lt;&gt;"",K99&lt;&gt;"Full Refresher"),'G2 FIL Reading Scoresheet'!$P101,"")</f>
        <v/>
      </c>
      <c r="P99" s="246" t="str">
        <f>'G2 FIL Reading Scoresheet'!$U101</f>
        <v/>
      </c>
      <c r="Q99" s="52" t="str">
        <f>CONCATENATE(IF(ISBLANK('G2 MT Reading Scoresheet'!V101),"",CONCATENATE("MT:",TRIM('G2 MT Reading Scoresheet'!V101)))," ",IF(ISBLANK('G2 FIL Reading Scoresheet'!V101),"",CONCATENATE("FIL:",TRIM('G2 FIL Reading Scoresheet'!V101))))</f>
        <v xml:space="preserve"> </v>
      </c>
    </row>
    <row r="100" spans="1:17" x14ac:dyDescent="0.3">
      <c r="A100" s="44">
        <f t="shared" si="0"/>
        <v>92</v>
      </c>
      <c r="B100" s="45" t="str">
        <f>IF('G2 MT Reading Scoresheet'!B102&lt;&gt;"",'G2 MT Reading Scoresheet'!B102,"")</f>
        <v/>
      </c>
      <c r="C100" s="46" t="str">
        <f>IF('G2 MT Reading Scoresheet'!C102&lt;&gt;"",'G2 MT Reading Scoresheet'!C102,"")</f>
        <v/>
      </c>
      <c r="D100" s="47" t="str">
        <f>IF('G2 MT Reading Scoresheet'!D102&lt;&gt;"",'G2 MT Reading Scoresheet'!D102,"")</f>
        <v/>
      </c>
      <c r="E100" s="210" t="str">
        <f>'G2 MT Reading Scoresheet'!$J102</f>
        <v/>
      </c>
      <c r="F100" s="241" t="str">
        <f>IF(C100&lt;&gt;"",'G2 MT Reading Scoresheet'!$I102/30,"")</f>
        <v/>
      </c>
      <c r="G100" s="241" t="str">
        <f>IF(AND($C100&lt;&gt;"",$E100&lt;&gt;"Full Refresher"),'G2 MT Reading Scoresheet'!$Q102,"")</f>
        <v/>
      </c>
      <c r="H100" s="241" t="str">
        <f>IF(AND(C100&lt;&gt;"",E100&lt;&gt;"Full Refresher"),'G2 MT Reading Scoresheet'!$R102/6,"")</f>
        <v/>
      </c>
      <c r="I100" s="210" t="str">
        <f>IF(AND(D100&lt;&gt;"",F100&lt;&gt;"Full Refresher"),'G2 MT Reading Scoresheet'!$P102,"")</f>
        <v/>
      </c>
      <c r="J100" s="245" t="str">
        <f>'G2 MT Reading Scoresheet'!$U102</f>
        <v/>
      </c>
      <c r="K100" s="57" t="str">
        <f>'G2 FIL Reading Scoresheet'!$J102</f>
        <v/>
      </c>
      <c r="L100" s="243" t="str">
        <f>IF($C100&lt;&gt;"",'G2 FIL Reading Scoresheet'!$I102/30,"")</f>
        <v/>
      </c>
      <c r="M100" s="243" t="str">
        <f>IF(AND($C100&lt;&gt;"",$K100&lt;&gt;"Full Refresher"),'G2 FIL Reading Scoresheet'!$Q102,"")</f>
        <v/>
      </c>
      <c r="N100" s="243" t="str">
        <f>IF(AND($C100&lt;&gt;"",K100&lt;&gt;"Full Refresher"),'G2 FIL Reading Scoresheet'!$R102/6,"")</f>
        <v/>
      </c>
      <c r="O100" s="57" t="str">
        <f>IF(AND(C100&lt;&gt;"",K100&lt;&gt;"Full Refresher"),'G2 FIL Reading Scoresheet'!$P102,"")</f>
        <v/>
      </c>
      <c r="P100" s="246" t="str">
        <f>'G2 FIL Reading Scoresheet'!$U102</f>
        <v/>
      </c>
      <c r="Q100" s="48" t="str">
        <f>CONCATENATE(IF(ISBLANK('G2 MT Reading Scoresheet'!V102),"",CONCATENATE("MT:",TRIM('G2 MT Reading Scoresheet'!V102)))," ",IF(ISBLANK('G2 FIL Reading Scoresheet'!V102),"",CONCATENATE("FIL:",TRIM('G2 FIL Reading Scoresheet'!V102))))</f>
        <v xml:space="preserve"> </v>
      </c>
    </row>
    <row r="101" spans="1:17" x14ac:dyDescent="0.3">
      <c r="A101" s="43">
        <f t="shared" si="0"/>
        <v>93</v>
      </c>
      <c r="B101" s="49" t="str">
        <f>IF('G2 MT Reading Scoresheet'!B103&lt;&gt;"",'G2 MT Reading Scoresheet'!B103,"")</f>
        <v/>
      </c>
      <c r="C101" s="50" t="str">
        <f>IF('G2 MT Reading Scoresheet'!C103&lt;&gt;"",'G2 MT Reading Scoresheet'!C103,"")</f>
        <v/>
      </c>
      <c r="D101" s="51" t="str">
        <f>IF('G2 MT Reading Scoresheet'!D103&lt;&gt;"",'G2 MT Reading Scoresheet'!D103,"")</f>
        <v/>
      </c>
      <c r="E101" s="210" t="str">
        <f>'G2 MT Reading Scoresheet'!$J103</f>
        <v/>
      </c>
      <c r="F101" s="241" t="str">
        <f>IF(C101&lt;&gt;"",'G2 MT Reading Scoresheet'!$I103/30,"")</f>
        <v/>
      </c>
      <c r="G101" s="241" t="str">
        <f>IF(AND($C101&lt;&gt;"",$E101&lt;&gt;"Full Refresher"),'G2 MT Reading Scoresheet'!$Q103,"")</f>
        <v/>
      </c>
      <c r="H101" s="241" t="str">
        <f>IF(AND(C101&lt;&gt;"",E101&lt;&gt;"Full Refresher"),'G2 MT Reading Scoresheet'!$R103/6,"")</f>
        <v/>
      </c>
      <c r="I101" s="210" t="str">
        <f>IF(AND(D101&lt;&gt;"",F101&lt;&gt;"Full Refresher"),'G2 MT Reading Scoresheet'!$P103,"")</f>
        <v/>
      </c>
      <c r="J101" s="245" t="str">
        <f>'G2 MT Reading Scoresheet'!$U103</f>
        <v/>
      </c>
      <c r="K101" s="57" t="str">
        <f>'G2 FIL Reading Scoresheet'!$J103</f>
        <v/>
      </c>
      <c r="L101" s="243" t="str">
        <f>IF($C101&lt;&gt;"",'G2 FIL Reading Scoresheet'!$I103/30,"")</f>
        <v/>
      </c>
      <c r="M101" s="243" t="str">
        <f>IF(AND($C101&lt;&gt;"",$K101&lt;&gt;"Full Refresher"),'G2 FIL Reading Scoresheet'!$Q103,"")</f>
        <v/>
      </c>
      <c r="N101" s="243" t="str">
        <f>IF(AND($C101&lt;&gt;"",K101&lt;&gt;"Full Refresher"),'G2 FIL Reading Scoresheet'!$R103/6,"")</f>
        <v/>
      </c>
      <c r="O101" s="57" t="str">
        <f>IF(AND(C101&lt;&gt;"",K101&lt;&gt;"Full Refresher"),'G2 FIL Reading Scoresheet'!$P103,"")</f>
        <v/>
      </c>
      <c r="P101" s="246" t="str">
        <f>'G2 FIL Reading Scoresheet'!$U103</f>
        <v/>
      </c>
      <c r="Q101" s="52" t="str">
        <f>CONCATENATE(IF(ISBLANK('G2 MT Reading Scoresheet'!V103),"",CONCATENATE("MT:",TRIM('G2 MT Reading Scoresheet'!V103)))," ",IF(ISBLANK('G2 FIL Reading Scoresheet'!V103),"",CONCATENATE("FIL:",TRIM('G2 FIL Reading Scoresheet'!V103))))</f>
        <v xml:space="preserve"> </v>
      </c>
    </row>
    <row r="102" spans="1:17" x14ac:dyDescent="0.3">
      <c r="A102" s="44">
        <f t="shared" si="0"/>
        <v>94</v>
      </c>
      <c r="B102" s="45" t="str">
        <f>IF('G2 MT Reading Scoresheet'!B104&lt;&gt;"",'G2 MT Reading Scoresheet'!B104,"")</f>
        <v/>
      </c>
      <c r="C102" s="46" t="str">
        <f>IF('G2 MT Reading Scoresheet'!C104&lt;&gt;"",'G2 MT Reading Scoresheet'!C104,"")</f>
        <v/>
      </c>
      <c r="D102" s="47" t="str">
        <f>IF('G2 MT Reading Scoresheet'!D104&lt;&gt;"",'G2 MT Reading Scoresheet'!D104,"")</f>
        <v/>
      </c>
      <c r="E102" s="210" t="str">
        <f>'G2 MT Reading Scoresheet'!$J104</f>
        <v/>
      </c>
      <c r="F102" s="241" t="str">
        <f>IF(C102&lt;&gt;"",'G2 MT Reading Scoresheet'!$I104/30,"")</f>
        <v/>
      </c>
      <c r="G102" s="241" t="str">
        <f>IF(AND($C102&lt;&gt;"",$E102&lt;&gt;"Full Refresher"),'G2 MT Reading Scoresheet'!$Q104,"")</f>
        <v/>
      </c>
      <c r="H102" s="241" t="str">
        <f>IF(AND(C102&lt;&gt;"",E102&lt;&gt;"Full Refresher"),'G2 MT Reading Scoresheet'!$R104/6,"")</f>
        <v/>
      </c>
      <c r="I102" s="210" t="str">
        <f>IF(AND(D102&lt;&gt;"",F102&lt;&gt;"Full Refresher"),'G2 MT Reading Scoresheet'!$P104,"")</f>
        <v/>
      </c>
      <c r="J102" s="245" t="str">
        <f>'G2 MT Reading Scoresheet'!$U104</f>
        <v/>
      </c>
      <c r="K102" s="57" t="str">
        <f>'G2 FIL Reading Scoresheet'!$J104</f>
        <v/>
      </c>
      <c r="L102" s="243" t="str">
        <f>IF($C102&lt;&gt;"",'G2 FIL Reading Scoresheet'!$I104/30,"")</f>
        <v/>
      </c>
      <c r="M102" s="243" t="str">
        <f>IF(AND($C102&lt;&gt;"",$K102&lt;&gt;"Full Refresher"),'G2 FIL Reading Scoresheet'!$Q104,"")</f>
        <v/>
      </c>
      <c r="N102" s="243" t="str">
        <f>IF(AND($C102&lt;&gt;"",K102&lt;&gt;"Full Refresher"),'G2 FIL Reading Scoresheet'!$R104/6,"")</f>
        <v/>
      </c>
      <c r="O102" s="57" t="str">
        <f>IF(AND(C102&lt;&gt;"",K102&lt;&gt;"Full Refresher"),'G2 FIL Reading Scoresheet'!$P104,"")</f>
        <v/>
      </c>
      <c r="P102" s="246" t="str">
        <f>'G2 FIL Reading Scoresheet'!$U104</f>
        <v/>
      </c>
      <c r="Q102" s="48" t="str">
        <f>CONCATENATE(IF(ISBLANK('G2 MT Reading Scoresheet'!V104),"",CONCATENATE("MT:",TRIM('G2 MT Reading Scoresheet'!V104)))," ",IF(ISBLANK('G2 FIL Reading Scoresheet'!V104),"",CONCATENATE("FIL:",TRIM('G2 FIL Reading Scoresheet'!V104))))</f>
        <v xml:space="preserve"> </v>
      </c>
    </row>
    <row r="103" spans="1:17" x14ac:dyDescent="0.3">
      <c r="A103" s="43">
        <f t="shared" si="0"/>
        <v>95</v>
      </c>
      <c r="B103" s="49" t="str">
        <f>IF('G2 MT Reading Scoresheet'!B105&lt;&gt;"",'G2 MT Reading Scoresheet'!B105,"")</f>
        <v/>
      </c>
      <c r="C103" s="50" t="str">
        <f>IF('G2 MT Reading Scoresheet'!C105&lt;&gt;"",'G2 MT Reading Scoresheet'!C105,"")</f>
        <v/>
      </c>
      <c r="D103" s="51" t="str">
        <f>IF('G2 MT Reading Scoresheet'!D105&lt;&gt;"",'G2 MT Reading Scoresheet'!D105,"")</f>
        <v/>
      </c>
      <c r="E103" s="210" t="str">
        <f>'G2 MT Reading Scoresheet'!$J105</f>
        <v/>
      </c>
      <c r="F103" s="241" t="str">
        <f>IF(C103&lt;&gt;"",'G2 MT Reading Scoresheet'!$I105/30,"")</f>
        <v/>
      </c>
      <c r="G103" s="241" t="str">
        <f>IF(AND($C103&lt;&gt;"",$E103&lt;&gt;"Full Refresher"),'G2 MT Reading Scoresheet'!$Q105,"")</f>
        <v/>
      </c>
      <c r="H103" s="241" t="str">
        <f>IF(AND(C103&lt;&gt;"",E103&lt;&gt;"Full Refresher"),'G2 MT Reading Scoresheet'!$R105/6,"")</f>
        <v/>
      </c>
      <c r="I103" s="210" t="str">
        <f>IF(AND(D103&lt;&gt;"",F103&lt;&gt;"Full Refresher"),'G2 MT Reading Scoresheet'!$P105,"")</f>
        <v/>
      </c>
      <c r="J103" s="245" t="str">
        <f>'G2 MT Reading Scoresheet'!$U105</f>
        <v/>
      </c>
      <c r="K103" s="57" t="str">
        <f>'G2 FIL Reading Scoresheet'!$J105</f>
        <v/>
      </c>
      <c r="L103" s="243" t="str">
        <f>IF($C103&lt;&gt;"",'G2 FIL Reading Scoresheet'!$I105/30,"")</f>
        <v/>
      </c>
      <c r="M103" s="243" t="str">
        <f>IF(AND($C103&lt;&gt;"",$K103&lt;&gt;"Full Refresher"),'G2 FIL Reading Scoresheet'!$Q105,"")</f>
        <v/>
      </c>
      <c r="N103" s="243" t="str">
        <f>IF(AND($C103&lt;&gt;"",K103&lt;&gt;"Full Refresher"),'G2 FIL Reading Scoresheet'!$R105/6,"")</f>
        <v/>
      </c>
      <c r="O103" s="57" t="str">
        <f>IF(AND(C103&lt;&gt;"",K103&lt;&gt;"Full Refresher"),'G2 FIL Reading Scoresheet'!$P105,"")</f>
        <v/>
      </c>
      <c r="P103" s="246" t="str">
        <f>'G2 FIL Reading Scoresheet'!$U105</f>
        <v/>
      </c>
      <c r="Q103" s="52" t="str">
        <f>CONCATENATE(IF(ISBLANK('G2 MT Reading Scoresheet'!V105),"",CONCATENATE("MT:",TRIM('G2 MT Reading Scoresheet'!V105)))," ",IF(ISBLANK('G2 FIL Reading Scoresheet'!V105),"",CONCATENATE("FIL:",TRIM('G2 FIL Reading Scoresheet'!V105))))</f>
        <v xml:space="preserve"> </v>
      </c>
    </row>
    <row r="104" spans="1:17" x14ac:dyDescent="0.3">
      <c r="A104" s="44">
        <f t="shared" si="0"/>
        <v>96</v>
      </c>
      <c r="B104" s="45" t="str">
        <f>IF('G2 MT Reading Scoresheet'!B106&lt;&gt;"",'G2 MT Reading Scoresheet'!B106,"")</f>
        <v/>
      </c>
      <c r="C104" s="46" t="str">
        <f>IF('G2 MT Reading Scoresheet'!C106&lt;&gt;"",'G2 MT Reading Scoresheet'!C106,"")</f>
        <v/>
      </c>
      <c r="D104" s="47" t="str">
        <f>IF('G2 MT Reading Scoresheet'!D106&lt;&gt;"",'G2 MT Reading Scoresheet'!D106,"")</f>
        <v/>
      </c>
      <c r="E104" s="210" t="str">
        <f>'G2 MT Reading Scoresheet'!$J106</f>
        <v/>
      </c>
      <c r="F104" s="241" t="str">
        <f>IF(C104&lt;&gt;"",'G2 MT Reading Scoresheet'!$I106/30,"")</f>
        <v/>
      </c>
      <c r="G104" s="241" t="str">
        <f>IF(AND($C104&lt;&gt;"",$E104&lt;&gt;"Full Refresher"),'G2 MT Reading Scoresheet'!$Q106,"")</f>
        <v/>
      </c>
      <c r="H104" s="241" t="str">
        <f>IF(AND(C104&lt;&gt;"",E104&lt;&gt;"Full Refresher"),'G2 MT Reading Scoresheet'!$R106/6,"")</f>
        <v/>
      </c>
      <c r="I104" s="210" t="str">
        <f>IF(AND(D104&lt;&gt;"",F104&lt;&gt;"Full Refresher"),'G2 MT Reading Scoresheet'!$P106,"")</f>
        <v/>
      </c>
      <c r="J104" s="245" t="str">
        <f>'G2 MT Reading Scoresheet'!$U106</f>
        <v/>
      </c>
      <c r="K104" s="57" t="str">
        <f>'G2 FIL Reading Scoresheet'!$J106</f>
        <v/>
      </c>
      <c r="L104" s="243" t="str">
        <f>IF($C104&lt;&gt;"",'G2 FIL Reading Scoresheet'!$I106/30,"")</f>
        <v/>
      </c>
      <c r="M104" s="243" t="str">
        <f>IF(AND($C104&lt;&gt;"",$K104&lt;&gt;"Full Refresher"),'G2 FIL Reading Scoresheet'!$Q106,"")</f>
        <v/>
      </c>
      <c r="N104" s="243" t="str">
        <f>IF(AND($C104&lt;&gt;"",K104&lt;&gt;"Full Refresher"),'G2 FIL Reading Scoresheet'!$R106/6,"")</f>
        <v/>
      </c>
      <c r="O104" s="57" t="str">
        <f>IF(AND(C104&lt;&gt;"",K104&lt;&gt;"Full Refresher"),'G2 FIL Reading Scoresheet'!$P106,"")</f>
        <v/>
      </c>
      <c r="P104" s="246" t="str">
        <f>'G2 FIL Reading Scoresheet'!$U106</f>
        <v/>
      </c>
      <c r="Q104" s="48" t="str">
        <f>CONCATENATE(IF(ISBLANK('G2 MT Reading Scoresheet'!V106),"",CONCATENATE("MT:",TRIM('G2 MT Reading Scoresheet'!V106)))," ",IF(ISBLANK('G2 FIL Reading Scoresheet'!V106),"",CONCATENATE("FIL:",TRIM('G2 FIL Reading Scoresheet'!V106))))</f>
        <v xml:space="preserve"> </v>
      </c>
    </row>
    <row r="105" spans="1:17" x14ac:dyDescent="0.3">
      <c r="A105" s="43">
        <f t="shared" si="0"/>
        <v>97</v>
      </c>
      <c r="B105" s="49" t="str">
        <f>IF('G2 MT Reading Scoresheet'!B107&lt;&gt;"",'G2 MT Reading Scoresheet'!B107,"")</f>
        <v/>
      </c>
      <c r="C105" s="50" t="str">
        <f>IF('G2 MT Reading Scoresheet'!C107&lt;&gt;"",'G2 MT Reading Scoresheet'!C107,"")</f>
        <v/>
      </c>
      <c r="D105" s="51" t="str">
        <f>IF('G2 MT Reading Scoresheet'!D107&lt;&gt;"",'G2 MT Reading Scoresheet'!D107,"")</f>
        <v/>
      </c>
      <c r="E105" s="210" t="str">
        <f>'G2 MT Reading Scoresheet'!$J107</f>
        <v/>
      </c>
      <c r="F105" s="241" t="str">
        <f>IF(C105&lt;&gt;"",'G2 MT Reading Scoresheet'!$I107/30,"")</f>
        <v/>
      </c>
      <c r="G105" s="241" t="str">
        <f>IF(AND($C105&lt;&gt;"",$E105&lt;&gt;"Full Refresher"),'G2 MT Reading Scoresheet'!$Q107,"")</f>
        <v/>
      </c>
      <c r="H105" s="241" t="str">
        <f>IF(AND(C105&lt;&gt;"",E105&lt;&gt;"Full Refresher"),'G2 MT Reading Scoresheet'!$R107/6,"")</f>
        <v/>
      </c>
      <c r="I105" s="210" t="str">
        <f>IF(AND(D105&lt;&gt;"",F105&lt;&gt;"Full Refresher"),'G2 MT Reading Scoresheet'!$P107,"")</f>
        <v/>
      </c>
      <c r="J105" s="245" t="str">
        <f>'G2 MT Reading Scoresheet'!$U107</f>
        <v/>
      </c>
      <c r="K105" s="57" t="str">
        <f>'G2 FIL Reading Scoresheet'!$J107</f>
        <v/>
      </c>
      <c r="L105" s="243" t="str">
        <f>IF($C105&lt;&gt;"",'G2 FIL Reading Scoresheet'!$I107/30,"")</f>
        <v/>
      </c>
      <c r="M105" s="243" t="str">
        <f>IF(AND($C105&lt;&gt;"",$K105&lt;&gt;"Full Refresher"),'G2 FIL Reading Scoresheet'!$Q107,"")</f>
        <v/>
      </c>
      <c r="N105" s="243" t="str">
        <f>IF(AND($C105&lt;&gt;"",K105&lt;&gt;"Full Refresher"),'G2 FIL Reading Scoresheet'!$R107/6,"")</f>
        <v/>
      </c>
      <c r="O105" s="57" t="str">
        <f>IF(AND(C105&lt;&gt;"",K105&lt;&gt;"Full Refresher"),'G2 FIL Reading Scoresheet'!$P107,"")</f>
        <v/>
      </c>
      <c r="P105" s="246" t="str">
        <f>'G2 FIL Reading Scoresheet'!$U107</f>
        <v/>
      </c>
      <c r="Q105" s="52" t="str">
        <f>CONCATENATE(IF(ISBLANK('G2 MT Reading Scoresheet'!V107),"",CONCATENATE("MT:",TRIM('G2 MT Reading Scoresheet'!V107)))," ",IF(ISBLANK('G2 FIL Reading Scoresheet'!V107),"",CONCATENATE("FIL:",TRIM('G2 FIL Reading Scoresheet'!V107))))</f>
        <v xml:space="preserve"> </v>
      </c>
    </row>
    <row r="106" spans="1:17" x14ac:dyDescent="0.3">
      <c r="A106" s="44">
        <f t="shared" si="0"/>
        <v>98</v>
      </c>
      <c r="B106" s="45" t="str">
        <f>IF('G2 MT Reading Scoresheet'!B108&lt;&gt;"",'G2 MT Reading Scoresheet'!B108,"")</f>
        <v/>
      </c>
      <c r="C106" s="46" t="str">
        <f>IF('G2 MT Reading Scoresheet'!C108&lt;&gt;"",'G2 MT Reading Scoresheet'!C108,"")</f>
        <v/>
      </c>
      <c r="D106" s="47" t="str">
        <f>IF('G2 MT Reading Scoresheet'!D108&lt;&gt;"",'G2 MT Reading Scoresheet'!D108,"")</f>
        <v/>
      </c>
      <c r="E106" s="210" t="str">
        <f>'G2 MT Reading Scoresheet'!$J108</f>
        <v/>
      </c>
      <c r="F106" s="241" t="str">
        <f>IF(C106&lt;&gt;"",'G2 MT Reading Scoresheet'!$I108/30,"")</f>
        <v/>
      </c>
      <c r="G106" s="241" t="str">
        <f>IF(AND($C106&lt;&gt;"",$E106&lt;&gt;"Full Refresher"),'G2 MT Reading Scoresheet'!$Q108,"")</f>
        <v/>
      </c>
      <c r="H106" s="241" t="str">
        <f>IF(AND(C106&lt;&gt;"",E106&lt;&gt;"Full Refresher"),'G2 MT Reading Scoresheet'!$R108/6,"")</f>
        <v/>
      </c>
      <c r="I106" s="210" t="str">
        <f>IF(AND(D106&lt;&gt;"",F106&lt;&gt;"Full Refresher"),'G2 MT Reading Scoresheet'!$P108,"")</f>
        <v/>
      </c>
      <c r="J106" s="245" t="str">
        <f>'G2 MT Reading Scoresheet'!$U108</f>
        <v/>
      </c>
      <c r="K106" s="57" t="str">
        <f>'G2 FIL Reading Scoresheet'!$J108</f>
        <v/>
      </c>
      <c r="L106" s="243" t="str">
        <f>IF($C106&lt;&gt;"",'G2 FIL Reading Scoresheet'!$I108/30,"")</f>
        <v/>
      </c>
      <c r="M106" s="243" t="str">
        <f>IF(AND($C106&lt;&gt;"",$K106&lt;&gt;"Full Refresher"),'G2 FIL Reading Scoresheet'!$Q108,"")</f>
        <v/>
      </c>
      <c r="N106" s="243" t="str">
        <f>IF(AND($C106&lt;&gt;"",K106&lt;&gt;"Full Refresher"),'G2 FIL Reading Scoresheet'!$R108/6,"")</f>
        <v/>
      </c>
      <c r="O106" s="57" t="str">
        <f>IF(AND(C106&lt;&gt;"",K106&lt;&gt;"Full Refresher"),'G2 FIL Reading Scoresheet'!$P108,"")</f>
        <v/>
      </c>
      <c r="P106" s="246" t="str">
        <f>'G2 FIL Reading Scoresheet'!$U108</f>
        <v/>
      </c>
      <c r="Q106" s="48" t="str">
        <f>CONCATENATE(IF(ISBLANK('G2 MT Reading Scoresheet'!V108),"",CONCATENATE("MT:",TRIM('G2 MT Reading Scoresheet'!V108)))," ",IF(ISBLANK('G2 FIL Reading Scoresheet'!V108),"",CONCATENATE("FIL:",TRIM('G2 FIL Reading Scoresheet'!V108))))</f>
        <v xml:space="preserve"> </v>
      </c>
    </row>
    <row r="107" spans="1:17" x14ac:dyDescent="0.3">
      <c r="A107" s="43">
        <f t="shared" si="0"/>
        <v>99</v>
      </c>
      <c r="B107" s="49" t="str">
        <f>IF('G2 MT Reading Scoresheet'!B109&lt;&gt;"",'G2 MT Reading Scoresheet'!B109,"")</f>
        <v/>
      </c>
      <c r="C107" s="50" t="str">
        <f>IF('G2 MT Reading Scoresheet'!C109&lt;&gt;"",'G2 MT Reading Scoresheet'!C109,"")</f>
        <v/>
      </c>
      <c r="D107" s="51" t="str">
        <f>IF('G2 MT Reading Scoresheet'!D109&lt;&gt;"",'G2 MT Reading Scoresheet'!D109,"")</f>
        <v/>
      </c>
      <c r="E107" s="210" t="str">
        <f>'G2 MT Reading Scoresheet'!$J109</f>
        <v/>
      </c>
      <c r="F107" s="241" t="str">
        <f>IF(C107&lt;&gt;"",'G2 MT Reading Scoresheet'!$I109/30,"")</f>
        <v/>
      </c>
      <c r="G107" s="241" t="str">
        <f>IF(AND($C107&lt;&gt;"",$E107&lt;&gt;"Full Refresher"),'G2 MT Reading Scoresheet'!$Q109,"")</f>
        <v/>
      </c>
      <c r="H107" s="241" t="str">
        <f>IF(AND(C107&lt;&gt;"",E107&lt;&gt;"Full Refresher"),'G2 MT Reading Scoresheet'!$R109/6,"")</f>
        <v/>
      </c>
      <c r="I107" s="210" t="str">
        <f>IF(AND(D107&lt;&gt;"",F107&lt;&gt;"Full Refresher"),'G2 MT Reading Scoresheet'!$P109,"")</f>
        <v/>
      </c>
      <c r="J107" s="245" t="str">
        <f>'G2 MT Reading Scoresheet'!$U109</f>
        <v/>
      </c>
      <c r="K107" s="57" t="str">
        <f>'G2 FIL Reading Scoresheet'!$J109</f>
        <v/>
      </c>
      <c r="L107" s="243" t="str">
        <f>IF($C107&lt;&gt;"",'G2 FIL Reading Scoresheet'!$I109/30,"")</f>
        <v/>
      </c>
      <c r="M107" s="243" t="str">
        <f>IF(AND($C107&lt;&gt;"",$K107&lt;&gt;"Full Refresher"),'G2 FIL Reading Scoresheet'!$Q109,"")</f>
        <v/>
      </c>
      <c r="N107" s="243" t="str">
        <f>IF(AND($C107&lt;&gt;"",K107&lt;&gt;"Full Refresher"),'G2 FIL Reading Scoresheet'!$R109/6,"")</f>
        <v/>
      </c>
      <c r="O107" s="57" t="str">
        <f>IF(AND(C107&lt;&gt;"",K107&lt;&gt;"Full Refresher"),'G2 FIL Reading Scoresheet'!$P109,"")</f>
        <v/>
      </c>
      <c r="P107" s="246" t="str">
        <f>'G2 FIL Reading Scoresheet'!$U109</f>
        <v/>
      </c>
      <c r="Q107" s="52" t="str">
        <f>CONCATENATE(IF(ISBLANK('G2 MT Reading Scoresheet'!V109),"",CONCATENATE("MT:",TRIM('G2 MT Reading Scoresheet'!V109)))," ",IF(ISBLANK('G2 FIL Reading Scoresheet'!V109),"",CONCATENATE("FIL:",TRIM('G2 FIL Reading Scoresheet'!V109))))</f>
        <v xml:space="preserve"> </v>
      </c>
    </row>
    <row r="108" spans="1:17" ht="15" thickBot="1" x14ac:dyDescent="0.35">
      <c r="A108" s="247">
        <v>100</v>
      </c>
      <c r="B108" s="248" t="str">
        <f>IF('G2 MT Reading Scoresheet'!B110&lt;&gt;"",'G2 MT Reading Scoresheet'!B110,"")</f>
        <v/>
      </c>
      <c r="C108" s="53" t="str">
        <f>IF('G2 MT Reading Scoresheet'!C110&lt;&gt;"",'G2 MT Reading Scoresheet'!C110,"")</f>
        <v/>
      </c>
      <c r="D108" s="54" t="str">
        <f>IF('G2 MT Reading Scoresheet'!D110&lt;&gt;"",'G2 MT Reading Scoresheet'!D110,"")</f>
        <v/>
      </c>
      <c r="E108" s="211" t="str">
        <f>'G2 MT Reading Scoresheet'!$J110</f>
        <v/>
      </c>
      <c r="F108" s="249" t="str">
        <f>IF(C108&lt;&gt;"",'G2 MT Reading Scoresheet'!$I$11/30,"")</f>
        <v/>
      </c>
      <c r="G108" s="249" t="str">
        <f>IF(AND($C108&lt;&gt;"",$E108&lt;&gt;"Full Refresher"),'G2 MT Reading Scoresheet'!$Q110,"")</f>
        <v/>
      </c>
      <c r="H108" s="249" t="str">
        <f>IF(AND(C108&lt;&gt;"",E108&lt;&gt;"Full Refresher"),'G2 MT Reading Scoresheet'!$R110/6,"")</f>
        <v/>
      </c>
      <c r="I108" s="211" t="str">
        <f>IF(AND(D108&lt;&gt;"",F108&lt;&gt;"Full Refresher"),'G2 MT Reading Scoresheet'!$P110,"")</f>
        <v/>
      </c>
      <c r="J108" s="250" t="str">
        <f>'G2 MT Reading Scoresheet'!$U110</f>
        <v/>
      </c>
      <c r="K108" s="58" t="str">
        <f>'G2 FIL Reading Scoresheet'!$J110</f>
        <v/>
      </c>
      <c r="L108" s="251" t="str">
        <f>IF($C108&lt;&gt;"",'G2 FIL Reading Scoresheet'!$I110/30,"")</f>
        <v/>
      </c>
      <c r="M108" s="251" t="str">
        <f>IF(AND($C108&lt;&gt;"",$K108&lt;&gt;"Full Refresher"),'G2 FIL Reading Scoresheet'!$Q110,"")</f>
        <v/>
      </c>
      <c r="N108" s="251" t="str">
        <f>IF(AND($C108&lt;&gt;"",K108&lt;&gt;"Full Refresher"),'G2 FIL Reading Scoresheet'!$R110/6,"")</f>
        <v/>
      </c>
      <c r="O108" s="58" t="str">
        <f>IF(AND(C108&lt;&gt;"",K108&lt;&gt;"Full Refresher"),'G2 FIL Reading Scoresheet'!$P110,"")</f>
        <v/>
      </c>
      <c r="P108" s="252" t="str">
        <f>'G2 FIL Reading Scoresheet'!$U110</f>
        <v/>
      </c>
      <c r="Q108" s="55" t="str">
        <f>CONCATENATE(IF(ISBLANK('G2 MT Reading Scoresheet'!V110),"",CONCATENATE("MT:",TRIM('G2 MT Reading Scoresheet'!V110)))," ",IF(ISBLANK('G2 FIL Reading Scoresheet'!V110),"",CONCATENATE("FIL:",TRIM('G2 FIL Reading Scoresheet'!V110))))</f>
        <v xml:space="preserve"> </v>
      </c>
    </row>
  </sheetData>
  <sheetProtection algorithmName="SHA-512" hashValue="H1w9GbDUjVSKRUUsGwDvTkeH8MER8q7URgJRQnOAF9035UrfkczKBf7LmjCC7IOf7BcE8rW+VInsLxxcUves0g==" saltValue="SS3JuW7tMC8SfVEZuI8FIg==" spinCount="100000" sheet="1" objects="1" scenarios="1" selectLockedCells="1" autoFilter="0"/>
  <autoFilter ref="A8:R8" xr:uid="{BC4E4CB5-DA0A-44B9-A550-F7D0779519F7}"/>
  <mergeCells count="15">
    <mergeCell ref="M7:O7"/>
    <mergeCell ref="K6:P6"/>
    <mergeCell ref="Q6:Q8"/>
    <mergeCell ref="A5:B5"/>
    <mergeCell ref="A6:B6"/>
    <mergeCell ref="A7:B7"/>
    <mergeCell ref="C5:D5"/>
    <mergeCell ref="C6:D6"/>
    <mergeCell ref="E6:J6"/>
    <mergeCell ref="E5:Q5"/>
    <mergeCell ref="C7:D7"/>
    <mergeCell ref="E7:F7"/>
    <mergeCell ref="J7:J8"/>
    <mergeCell ref="K7:L7"/>
    <mergeCell ref="G7:I7"/>
  </mergeCells>
  <conditionalFormatting sqref="C5">
    <cfRule type="containsText" dxfId="7" priority="7" operator="containsText" text="[enter school school id here]">
      <formula>NOT(ISERROR(SEARCH("[enter school school id here]",C5)))</formula>
    </cfRule>
  </conditionalFormatting>
  <conditionalFormatting sqref="C6">
    <cfRule type="containsText" dxfId="6" priority="8" operator="containsText" text="[enter teacher name here]">
      <formula>NOT(ISERROR(SEARCH("[enter teacher name here]",C6)))</formula>
    </cfRule>
  </conditionalFormatting>
  <conditionalFormatting sqref="E9:E109">
    <cfRule type="containsText" dxfId="5" priority="6" operator="containsText" text="Full">
      <formula>NOT(ISERROR(SEARCH("Full",E9)))</formula>
    </cfRule>
  </conditionalFormatting>
  <conditionalFormatting sqref="J9:J107">
    <cfRule type="containsText" dxfId="4" priority="5" operator="containsText" text="Low">
      <formula>NOT(ISERROR(SEARCH("Low",J9)))</formula>
    </cfRule>
  </conditionalFormatting>
  <conditionalFormatting sqref="J9:J108">
    <cfRule type="containsText" dxfId="3" priority="4" operator="containsText" text="High">
      <formula>NOT(ISERROR(SEARCH("High",J9)))</formula>
    </cfRule>
  </conditionalFormatting>
  <conditionalFormatting sqref="K9:K108">
    <cfRule type="containsText" dxfId="2" priority="3" operator="containsText" text="Full">
      <formula>NOT(ISERROR(SEARCH("Full",K9)))</formula>
    </cfRule>
  </conditionalFormatting>
  <conditionalFormatting sqref="P9:P108">
    <cfRule type="containsText" dxfId="1" priority="1" operator="containsText" text="High">
      <formula>NOT(ISERROR(SEARCH("High",P9)))</formula>
    </cfRule>
    <cfRule type="containsText" dxfId="0" priority="2" operator="containsText" text="Low">
      <formula>NOT(ISERROR(SEARCH("Low",P9)))</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1:U107"/>
  <sheetViews>
    <sheetView zoomScale="96" zoomScaleNormal="96" workbookViewId="0">
      <selection activeCell="N11" sqref="N11"/>
    </sheetView>
  </sheetViews>
  <sheetFormatPr defaultColWidth="0" defaultRowHeight="14.4" x14ac:dyDescent="0.3"/>
  <cols>
    <col min="1" max="1" width="12.33203125" customWidth="1"/>
    <col min="2" max="2" width="15.21875" customWidth="1"/>
    <col min="3" max="3" width="17.109375" customWidth="1"/>
    <col min="4" max="4" width="13.6640625" customWidth="1"/>
    <col min="5" max="5" width="10" customWidth="1"/>
    <col min="6" max="6" width="9.88671875" customWidth="1"/>
    <col min="7" max="7" width="10.44140625" customWidth="1"/>
    <col min="8" max="8" width="10.33203125" customWidth="1"/>
    <col min="9" max="9" width="12.88671875" customWidth="1"/>
    <col min="10" max="10" width="11.109375" customWidth="1"/>
    <col min="11" max="12" width="9.77734375" customWidth="1"/>
    <col min="13" max="13" width="11.77734375" customWidth="1"/>
    <col min="14" max="14" width="10.44140625" customWidth="1"/>
    <col min="15" max="17" width="9.77734375" customWidth="1"/>
    <col min="18" max="18" width="11.21875" customWidth="1"/>
    <col min="19" max="19" width="10.77734375" customWidth="1"/>
    <col min="20" max="20" width="8.88671875" customWidth="1"/>
    <col min="21" max="21" width="0" hidden="1" customWidth="1"/>
    <col min="22" max="16384" width="8.88671875" hidden="1"/>
  </cols>
  <sheetData>
    <row r="1" spans="1:19" x14ac:dyDescent="0.3">
      <c r="A1" t="s">
        <v>153</v>
      </c>
    </row>
    <row r="2" spans="1:19" ht="15.6" x14ac:dyDescent="0.3">
      <c r="A2" s="365" t="s">
        <v>109</v>
      </c>
      <c r="B2" s="365"/>
      <c r="C2" s="365"/>
      <c r="D2" s="365"/>
      <c r="E2" s="365"/>
      <c r="F2" s="365"/>
    </row>
    <row r="4" spans="1:19" x14ac:dyDescent="0.3">
      <c r="A4" s="362" t="s">
        <v>27</v>
      </c>
      <c r="B4" s="362"/>
      <c r="C4" s="3">
        <f>'G2 MT Reading Scoresheet'!C4</f>
        <v>0</v>
      </c>
    </row>
    <row r="5" spans="1:19" ht="15" thickBot="1" x14ac:dyDescent="0.35">
      <c r="A5" s="363" t="s">
        <v>28</v>
      </c>
      <c r="B5" s="363"/>
      <c r="C5" s="364">
        <f>'G2 MT Reading Scoresheet'!C5</f>
        <v>0</v>
      </c>
      <c r="D5" s="364"/>
      <c r="E5" s="364"/>
    </row>
    <row r="6" spans="1:19" ht="14.4" customHeight="1" x14ac:dyDescent="0.3">
      <c r="A6" s="369" t="s">
        <v>20</v>
      </c>
      <c r="B6" s="239"/>
      <c r="C6" s="239"/>
      <c r="D6" s="356" t="s">
        <v>21</v>
      </c>
      <c r="E6" s="356" t="s">
        <v>30</v>
      </c>
      <c r="F6" s="358" t="s">
        <v>22</v>
      </c>
      <c r="G6" s="360" t="s">
        <v>29</v>
      </c>
      <c r="H6" s="355" t="s">
        <v>178</v>
      </c>
      <c r="I6" s="355"/>
      <c r="J6" s="355"/>
      <c r="K6" s="355"/>
      <c r="L6" s="355" t="s">
        <v>183</v>
      </c>
      <c r="M6" s="355"/>
      <c r="N6" s="355"/>
      <c r="O6" s="215"/>
      <c r="P6" s="215"/>
      <c r="Q6" s="354" t="s">
        <v>102</v>
      </c>
      <c r="R6" s="354"/>
      <c r="S6" s="354"/>
    </row>
    <row r="7" spans="1:19" ht="36" x14ac:dyDescent="0.3">
      <c r="A7" s="370"/>
      <c r="B7" s="240" t="s">
        <v>18</v>
      </c>
      <c r="C7" s="240" t="s">
        <v>26</v>
      </c>
      <c r="D7" s="357"/>
      <c r="E7" s="357"/>
      <c r="F7" s="359"/>
      <c r="G7" s="361"/>
      <c r="H7" s="193" t="s">
        <v>23</v>
      </c>
      <c r="I7" s="193" t="s">
        <v>32</v>
      </c>
      <c r="J7" s="193" t="s">
        <v>24</v>
      </c>
      <c r="K7" s="193" t="s">
        <v>25</v>
      </c>
      <c r="L7" s="193" t="s">
        <v>180</v>
      </c>
      <c r="M7" s="193" t="s">
        <v>181</v>
      </c>
      <c r="N7" s="193" t="s">
        <v>182</v>
      </c>
      <c r="O7" s="216" t="s">
        <v>157</v>
      </c>
      <c r="P7" s="216" t="s">
        <v>158</v>
      </c>
      <c r="Q7" s="216" t="s">
        <v>161</v>
      </c>
      <c r="R7" s="216" t="s">
        <v>163</v>
      </c>
      <c r="S7" s="216" t="s">
        <v>165</v>
      </c>
    </row>
    <row r="8" spans="1:19" ht="25.05" customHeight="1" x14ac:dyDescent="0.3">
      <c r="A8" s="176" t="s">
        <v>101</v>
      </c>
      <c r="B8" s="177" t="str">
        <f>IF('G2 MT Reading Scoresheet'!$C$8&lt;&gt;"",'G2 MT Reading Scoresheet'!$C$8,"")</f>
        <v/>
      </c>
      <c r="C8" s="177" t="str">
        <f>IF('G2 MT Reading Scoresheet'!$C$6&lt;&gt;"",'G2 MT Reading Scoresheet'!$C$6," ")</f>
        <v xml:space="preserve"> </v>
      </c>
      <c r="D8" s="177" t="str">
        <f>IF('G2 MT Reading Scoresheet'!C9 &lt;&gt;"",'G2 MT Reading Scoresheet'!C9,"")</f>
        <v>Tagalog</v>
      </c>
      <c r="E8" s="178" t="s">
        <v>80</v>
      </c>
      <c r="F8" s="179">
        <f>'G2 MT Reading Scoresheet'!D6</f>
        <v>0</v>
      </c>
      <c r="G8" s="180">
        <f>COUNTIF('G2 MT Reading Scoresheet'!$D$11:$D$110,$E8)</f>
        <v>0</v>
      </c>
      <c r="H8" s="180">
        <f>COUNTIFS('Class Record'!$E$9:$E$108,H$7,'Class Record'!$D$9:$D$108,$E8)</f>
        <v>0</v>
      </c>
      <c r="I8" s="180">
        <f>COUNTIFS('Class Record'!$E$9:$E$108,I$7,'Class Record'!$D$9:$D$108,$E8)</f>
        <v>0</v>
      </c>
      <c r="J8" s="180">
        <f>COUNTIFS('Class Record'!$E$9:$E$108,J$7,'Class Record'!$D$9:$D$108,$E8)</f>
        <v>0</v>
      </c>
      <c r="K8" s="180">
        <f>COUNTIFS('Class Record'!$E$9:$E$108,K$7,'Class Record'!$D$9:$D$108,$E8)</f>
        <v>0</v>
      </c>
      <c r="L8" s="276" t="str">
        <f>IFERROR(AVERAGEIFS('Class Record'!G$9:G$108,'Class Record'!$D$9:$D$108,$E8),"")</f>
        <v/>
      </c>
      <c r="M8" s="276" t="str">
        <f>IFERROR(AVERAGEIFS('Class Record'!H$9:H$108,'Class Record'!$D$9:$D$108,$E8),"")</f>
        <v/>
      </c>
      <c r="N8" s="277" t="str">
        <f>IFERROR(AVERAGEIFS('Class Record'!I$9:I$108,'Class Record'!$D$9:$D$108,$E8),"")</f>
        <v/>
      </c>
      <c r="O8" s="181">
        <f>COUNTIFS('Class Record'!$J$9:$J$108,O$7,'Class Record'!$D$9:$D$108,$E8)</f>
        <v>0</v>
      </c>
      <c r="P8" s="181">
        <f>COUNTIFS('Class Record'!$J$9:$J$108,P$7,'Class Record'!$D$9:$D$108,$E8)</f>
        <v>0</v>
      </c>
      <c r="Q8" s="181">
        <f>COUNTIFS('Class Record'!$J$9:$J$108,Q$7,'Class Record'!$D$9:$D$108,$E8)</f>
        <v>0</v>
      </c>
      <c r="R8" s="181">
        <f>COUNTIFS('Class Record'!$J$9:$J$108,R$7,'Class Record'!$D$9:$D$108,$E8)</f>
        <v>0</v>
      </c>
      <c r="S8" s="181">
        <f>COUNTIFS('Class Record'!$J$9:$J$108,S$7,'Class Record'!$D$9:$D$108,$E8)</f>
        <v>0</v>
      </c>
    </row>
    <row r="9" spans="1:19" ht="25.05" customHeight="1" x14ac:dyDescent="0.3">
      <c r="A9" s="176" t="str">
        <f>A8</f>
        <v>Grade 2</v>
      </c>
      <c r="B9" s="177" t="str">
        <f t="shared" ref="B9:D9" si="0">B8</f>
        <v/>
      </c>
      <c r="C9" s="177" t="str">
        <f>C8</f>
        <v xml:space="preserve"> </v>
      </c>
      <c r="D9" s="177" t="str">
        <f t="shared" si="0"/>
        <v>Tagalog</v>
      </c>
      <c r="E9" s="178" t="s">
        <v>81</v>
      </c>
      <c r="F9" s="179">
        <f>'G2 MT Reading Scoresheet'!E6</f>
        <v>0</v>
      </c>
      <c r="G9" s="182">
        <f>COUNTIF('G2 MT Reading Scoresheet'!$D$11:$D$110,E9)</f>
        <v>0</v>
      </c>
      <c r="H9" s="180">
        <f>COUNTIFS('Class Record'!$E$9:$E$108,H$7,'Class Record'!$D$9:$D$108,$E9)</f>
        <v>0</v>
      </c>
      <c r="I9" s="180">
        <f>COUNTIFS('Class Record'!$E$9:$E$108,I$7,'Class Record'!$D$9:$D$108,$E9)</f>
        <v>0</v>
      </c>
      <c r="J9" s="180">
        <f>COUNTIFS('Class Record'!$E$9:$E$108,J$7,'Class Record'!$D$9:$D$108,$E9)</f>
        <v>0</v>
      </c>
      <c r="K9" s="180">
        <f>COUNTIFS('Class Record'!$E$9:$E$108,K$7,'Class Record'!$D$9:$D$108,$E9)</f>
        <v>0</v>
      </c>
      <c r="L9" s="276" t="str">
        <f>IFERROR(AVERAGEIFS('Class Record'!G$9:G$108,'Class Record'!$D$9:$D$108,$E9),"")</f>
        <v/>
      </c>
      <c r="M9" s="276" t="str">
        <f>IFERROR(AVERAGEIFS('Class Record'!H$9:H$108,'Class Record'!$D$9:$D$108,$E9),"")</f>
        <v/>
      </c>
      <c r="N9" s="277" t="str">
        <f>IFERROR(AVERAGEIFS('Class Record'!I$9:I$108,'Class Record'!$D$9:$D$108,$E9),"")</f>
        <v/>
      </c>
      <c r="O9" s="181">
        <f>COUNTIFS('Class Record'!$J$9:$J$108,O$7,'Class Record'!$D$9:$D$108,$E9)</f>
        <v>0</v>
      </c>
      <c r="P9" s="181">
        <f>COUNTIFS('Class Record'!$J$9:$J$108,P$7,'Class Record'!$D$9:$D$108,$E9)</f>
        <v>0</v>
      </c>
      <c r="Q9" s="181">
        <f>COUNTIFS('Class Record'!$J$9:$J$108,Q$7,'Class Record'!$D$9:$D$108,$E9)</f>
        <v>0</v>
      </c>
      <c r="R9" s="181">
        <f>COUNTIFS('Class Record'!$J$9:$J$108,R$7,'Class Record'!$D$9:$D$108,$E9)</f>
        <v>0</v>
      </c>
      <c r="S9" s="181">
        <f>COUNTIFS('Class Record'!$J$9:$J$108,S$7,'Class Record'!$D$9:$D$108,$E9)</f>
        <v>0</v>
      </c>
    </row>
    <row r="10" spans="1:19" ht="25.05" customHeight="1" x14ac:dyDescent="0.3">
      <c r="A10" s="176" t="str">
        <f>A9</f>
        <v>Grade 2</v>
      </c>
      <c r="B10" s="177" t="str">
        <f>B9</f>
        <v/>
      </c>
      <c r="C10" s="177" t="str">
        <f>C9</f>
        <v xml:space="preserve"> </v>
      </c>
      <c r="D10" s="177" t="s">
        <v>108</v>
      </c>
      <c r="E10" s="178" t="s">
        <v>80</v>
      </c>
      <c r="F10" s="179">
        <f>'G2 FIL Reading Scoresheet'!$D$6</f>
        <v>0</v>
      </c>
      <c r="G10" s="180">
        <f>COUNTIF('G2 FIL Reading Scoresheet'!$D$11:$D$110,$E10)</f>
        <v>0</v>
      </c>
      <c r="H10" s="180">
        <f>COUNTIFS('Class Record'!$K$9:$K$108,H$7,'Class Record'!$D$9:$D$108,$E10)</f>
        <v>0</v>
      </c>
      <c r="I10" s="180">
        <f>COUNTIFS('Class Record'!$K$9:$K$108,I$7,'Class Record'!$D$9:$D$108,$E10)</f>
        <v>0</v>
      </c>
      <c r="J10" s="180">
        <f>COUNTIFS('Class Record'!$K$9:$K$108,J$7,'Class Record'!$D$9:$D$108,$E10)</f>
        <v>0</v>
      </c>
      <c r="K10" s="180">
        <f>COUNTIFS('Class Record'!$K$9:$K$108,K$7,'Class Record'!$D$9:$D$108,$E10)</f>
        <v>0</v>
      </c>
      <c r="L10" s="276" t="str">
        <f>IFERROR(AVERAGEIFS('Class Record'!M$9:M$108,'Class Record'!$D$9:$D$108,$E10),"")</f>
        <v/>
      </c>
      <c r="M10" s="276" t="str">
        <f>IFERROR(AVERAGEIFS('Class Record'!N$9:N$108,'Class Record'!$D$9:$D$108,$E10),"")</f>
        <v/>
      </c>
      <c r="N10" s="277" t="str">
        <f>IFERROR(AVERAGEIFS('Class Record'!O$9:O$108,'Class Record'!$D$9:$D$108,$E10),"")</f>
        <v/>
      </c>
      <c r="O10" s="181">
        <f>COUNTIFS('Class Record'!$P$9:$P$108,O$7,'Class Record'!$D$9:$D$108,$E10)</f>
        <v>0</v>
      </c>
      <c r="P10" s="181">
        <f>COUNTIFS('Class Record'!$P$9:$P$108,P$7,'Class Record'!$D$9:$D$108,$E10)</f>
        <v>0</v>
      </c>
      <c r="Q10" s="181">
        <f>COUNTIFS('Class Record'!$P$9:$P$108,Q$7,'Class Record'!$D$9:$D$108,$E10)</f>
        <v>0</v>
      </c>
      <c r="R10" s="181">
        <f>COUNTIFS('Class Record'!$P$9:$P$108,R$7,'Class Record'!$D$9:$D$108,$E10)</f>
        <v>0</v>
      </c>
      <c r="S10" s="181">
        <f>COUNTIFS('Class Record'!$P$9:$P$108,S$7,'Class Record'!$D$9:$D$108,$E10)</f>
        <v>0</v>
      </c>
    </row>
    <row r="11" spans="1:19" ht="25.05" customHeight="1" thickBot="1" x14ac:dyDescent="0.35">
      <c r="A11" s="183" t="str">
        <f>A10</f>
        <v>Grade 2</v>
      </c>
      <c r="B11" s="184" t="str">
        <f t="shared" ref="B11:D11" si="1">B10</f>
        <v/>
      </c>
      <c r="C11" s="184" t="str">
        <f t="shared" si="1"/>
        <v xml:space="preserve"> </v>
      </c>
      <c r="D11" s="184" t="str">
        <f t="shared" si="1"/>
        <v>Filipino</v>
      </c>
      <c r="E11" s="185" t="s">
        <v>81</v>
      </c>
      <c r="F11" s="186">
        <f>'G2 FIL Reading Scoresheet'!$E$6</f>
        <v>0</v>
      </c>
      <c r="G11" s="187">
        <f>COUNTIF('G2 FIL Reading Scoresheet'!$D$11:$D$110,$E11)</f>
        <v>0</v>
      </c>
      <c r="H11" s="188">
        <f>COUNTIFS('Class Record'!$K$9:$K$108,H$7,'Class Record'!$D$9:$D$108,$E11)</f>
        <v>0</v>
      </c>
      <c r="I11" s="188">
        <f>COUNTIFS('Class Record'!$K$9:$K$108,I$7,'Class Record'!$D$9:$D$108,$E11)</f>
        <v>0</v>
      </c>
      <c r="J11" s="188">
        <f>COUNTIFS('Class Record'!$K$9:$K$108,J$7,'Class Record'!$D$9:$D$108,$E11)</f>
        <v>0</v>
      </c>
      <c r="K11" s="188">
        <f>COUNTIFS('Class Record'!$K$9:$K$108,K$7,'Class Record'!$D$9:$D$108,$E11)</f>
        <v>0</v>
      </c>
      <c r="L11" s="278" t="str">
        <f>IFERROR(AVERAGEIFS('Class Record'!M$9:M$108,'Class Record'!$D$9:$D$108,$E11),"")</f>
        <v/>
      </c>
      <c r="M11" s="278" t="str">
        <f>IFERROR(AVERAGEIFS('Class Record'!N$9:N$108,'Class Record'!$D$9:$D$108,$E11),"")</f>
        <v/>
      </c>
      <c r="N11" s="279" t="str">
        <f>IFERROR(AVERAGEIFS('Class Record'!O$9:O$108,'Class Record'!$D$9:$D$108,$E11),"")</f>
        <v/>
      </c>
      <c r="O11" s="189">
        <f>COUNTIFS('Class Record'!$P$9:$P$108,O$7,'Class Record'!$D$9:$D$108,$E11)</f>
        <v>0</v>
      </c>
      <c r="P11" s="189">
        <f>COUNTIFS('Class Record'!$P$9:$P$108,P$7,'Class Record'!$D$9:$D$108,$E11)</f>
        <v>0</v>
      </c>
      <c r="Q11" s="189">
        <f>COUNTIFS('Class Record'!$P$9:$P$108,Q$7,'Class Record'!$D$9:$D$108,$E11)</f>
        <v>0</v>
      </c>
      <c r="R11" s="189">
        <f>COUNTIFS('Class Record'!$P$9:$P$108,R$7,'Class Record'!$D$9:$D$108,$E11)</f>
        <v>0</v>
      </c>
      <c r="S11" s="189">
        <f>COUNTIFS('Class Record'!$P$9:$P$108,S$7,'Class Record'!$D$9:$D$108,$E11)</f>
        <v>0</v>
      </c>
    </row>
    <row r="12" spans="1:19" ht="21" customHeight="1" thickBot="1" x14ac:dyDescent="0.35">
      <c r="A12" s="158"/>
      <c r="B12" s="158"/>
      <c r="C12" s="158"/>
      <c r="D12" s="158"/>
      <c r="E12" s="159"/>
      <c r="F12" s="160"/>
      <c r="G12" s="161"/>
      <c r="H12" s="157"/>
      <c r="I12" s="157"/>
      <c r="J12" s="157"/>
      <c r="K12" s="157"/>
      <c r="L12" s="280"/>
      <c r="M12" s="157"/>
      <c r="N12" s="157"/>
      <c r="O12" s="157"/>
      <c r="P12" s="157"/>
      <c r="Q12" s="157"/>
      <c r="R12" s="157"/>
      <c r="S12" s="157"/>
    </row>
    <row r="13" spans="1:19" ht="25.05" customHeight="1" x14ac:dyDescent="0.3">
      <c r="A13" s="162" t="str">
        <f>A9</f>
        <v>Grade 2</v>
      </c>
      <c r="B13" s="163" t="str">
        <f t="shared" ref="B13:B14" si="2">B9</f>
        <v/>
      </c>
      <c r="C13" s="163" t="str">
        <f t="shared" ref="C13:C14" si="3">C9</f>
        <v xml:space="preserve"> </v>
      </c>
      <c r="D13" s="163" t="str">
        <f t="shared" ref="D13:D14" si="4">D9</f>
        <v>Tagalog</v>
      </c>
      <c r="E13" s="164" t="s">
        <v>82</v>
      </c>
      <c r="F13" s="165">
        <f>F8+F9</f>
        <v>0</v>
      </c>
      <c r="G13" s="166">
        <f>G8+G9</f>
        <v>0</v>
      </c>
      <c r="H13" s="167">
        <f t="shared" ref="H13:K13" si="5">H8+H9</f>
        <v>0</v>
      </c>
      <c r="I13" s="167">
        <f t="shared" si="5"/>
        <v>0</v>
      </c>
      <c r="J13" s="167">
        <f t="shared" si="5"/>
        <v>0</v>
      </c>
      <c r="K13" s="167">
        <f t="shared" si="5"/>
        <v>0</v>
      </c>
      <c r="L13" s="281" t="str">
        <f>IFERROR((L8+L9)/2,"")</f>
        <v/>
      </c>
      <c r="M13" s="281" t="str">
        <f>IFERROR((M8+M9)/2,"")</f>
        <v/>
      </c>
      <c r="N13" s="282" t="str">
        <f>IFERROR((N8+N9)/2,"")</f>
        <v/>
      </c>
      <c r="O13" s="168">
        <f t="shared" ref="O13:P13" si="6">O8+O9</f>
        <v>0</v>
      </c>
      <c r="P13" s="168">
        <f t="shared" si="6"/>
        <v>0</v>
      </c>
      <c r="Q13" s="168">
        <f t="shared" ref="Q13:S13" si="7">Q8+Q9</f>
        <v>0</v>
      </c>
      <c r="R13" s="168">
        <f t="shared" si="7"/>
        <v>0</v>
      </c>
      <c r="S13" s="168">
        <f t="shared" si="7"/>
        <v>0</v>
      </c>
    </row>
    <row r="14" spans="1:19" ht="43.8" customHeight="1" thickBot="1" x14ac:dyDescent="0.35">
      <c r="A14" s="169" t="str">
        <f>A10</f>
        <v>Grade 2</v>
      </c>
      <c r="B14" s="170" t="str">
        <f t="shared" si="2"/>
        <v/>
      </c>
      <c r="C14" s="170" t="str">
        <f t="shared" si="3"/>
        <v xml:space="preserve"> </v>
      </c>
      <c r="D14" s="170" t="str">
        <f t="shared" si="4"/>
        <v>Filipino</v>
      </c>
      <c r="E14" s="171" t="s">
        <v>82</v>
      </c>
      <c r="F14" s="172">
        <f>F10+F11</f>
        <v>0</v>
      </c>
      <c r="G14" s="173">
        <f t="shared" ref="G14:K14" si="8">G10+G11</f>
        <v>0</v>
      </c>
      <c r="H14" s="174">
        <f t="shared" si="8"/>
        <v>0</v>
      </c>
      <c r="I14" s="174">
        <f t="shared" si="8"/>
        <v>0</v>
      </c>
      <c r="J14" s="174">
        <f t="shared" si="8"/>
        <v>0</v>
      </c>
      <c r="K14" s="174">
        <f t="shared" si="8"/>
        <v>0</v>
      </c>
      <c r="L14" s="278" t="str">
        <f>IFERROR((L10+L11)/2,"")</f>
        <v/>
      </c>
      <c r="M14" s="278" t="str">
        <f t="shared" ref="M14:N14" si="9">IFERROR((M10+M11)/2,"")</f>
        <v/>
      </c>
      <c r="N14" s="279" t="str">
        <f t="shared" si="9"/>
        <v/>
      </c>
      <c r="O14" s="175">
        <f t="shared" ref="O14:S14" si="10">O10+O11</f>
        <v>0</v>
      </c>
      <c r="P14" s="175">
        <f t="shared" si="10"/>
        <v>0</v>
      </c>
      <c r="Q14" s="175">
        <f t="shared" si="10"/>
        <v>0</v>
      </c>
      <c r="R14" s="175">
        <f t="shared" si="10"/>
        <v>0</v>
      </c>
      <c r="S14" s="175">
        <f t="shared" si="10"/>
        <v>0</v>
      </c>
    </row>
    <row r="15" spans="1:19" ht="15" thickBot="1" x14ac:dyDescent="0.35"/>
    <row r="16" spans="1:19" x14ac:dyDescent="0.3">
      <c r="A16" s="367"/>
      <c r="B16" s="368"/>
      <c r="C16" s="235"/>
      <c r="D16" s="371" t="s">
        <v>103</v>
      </c>
      <c r="E16" s="371"/>
      <c r="F16" s="371"/>
      <c r="G16" s="371"/>
      <c r="H16" s="371"/>
      <c r="I16" s="371"/>
      <c r="J16" s="371"/>
      <c r="K16" s="371"/>
      <c r="L16" s="371"/>
      <c r="M16" s="371"/>
      <c r="N16" s="371"/>
      <c r="O16" s="372"/>
      <c r="P16" s="219"/>
    </row>
    <row r="17" spans="1:16" ht="14.4" customHeight="1" x14ac:dyDescent="0.3">
      <c r="A17" s="236"/>
      <c r="B17" s="237"/>
      <c r="C17" s="238"/>
      <c r="D17" s="366" t="s">
        <v>178</v>
      </c>
      <c r="E17" s="366"/>
      <c r="F17" s="366"/>
      <c r="G17" s="366"/>
      <c r="H17" s="373" t="s">
        <v>184</v>
      </c>
      <c r="I17" s="374"/>
      <c r="J17" s="375"/>
      <c r="K17" s="366" t="s">
        <v>102</v>
      </c>
      <c r="L17" s="366"/>
      <c r="M17" s="366"/>
      <c r="N17" s="366"/>
      <c r="O17" s="376"/>
      <c r="P17" s="219"/>
    </row>
    <row r="18" spans="1:16" ht="36" x14ac:dyDescent="0.3">
      <c r="A18" s="232" t="s">
        <v>21</v>
      </c>
      <c r="B18" s="233" t="s">
        <v>30</v>
      </c>
      <c r="C18" s="234" t="s">
        <v>31</v>
      </c>
      <c r="D18" s="193" t="s">
        <v>23</v>
      </c>
      <c r="E18" s="193" t="s">
        <v>32</v>
      </c>
      <c r="F18" s="193" t="s">
        <v>24</v>
      </c>
      <c r="G18" s="193" t="s">
        <v>25</v>
      </c>
      <c r="H18" s="193" t="s">
        <v>180</v>
      </c>
      <c r="I18" s="193" t="s">
        <v>181</v>
      </c>
      <c r="J18" s="193" t="s">
        <v>185</v>
      </c>
      <c r="K18" s="216" t="s">
        <v>157</v>
      </c>
      <c r="L18" s="216" t="s">
        <v>158</v>
      </c>
      <c r="M18" s="216" t="s">
        <v>161</v>
      </c>
      <c r="N18" s="216" t="s">
        <v>163</v>
      </c>
      <c r="O18" s="217" t="s">
        <v>165</v>
      </c>
      <c r="P18" s="222"/>
    </row>
    <row r="19" spans="1:16" x14ac:dyDescent="0.3">
      <c r="A19" s="5" t="str">
        <f>D8</f>
        <v>Tagalog</v>
      </c>
      <c r="B19" s="8" t="s">
        <v>80</v>
      </c>
      <c r="C19" s="31" t="str">
        <f>IFERROR(G8/F8,"")</f>
        <v/>
      </c>
      <c r="D19" s="31" t="str">
        <f t="shared" ref="D19:G20" si="11">IFERROR(H8/$G8,"")</f>
        <v/>
      </c>
      <c r="E19" s="31" t="str">
        <f t="shared" si="11"/>
        <v/>
      </c>
      <c r="F19" s="31" t="str">
        <f t="shared" si="11"/>
        <v/>
      </c>
      <c r="G19" s="31" t="str">
        <f t="shared" si="11"/>
        <v/>
      </c>
      <c r="H19" s="31" t="str">
        <f>L8</f>
        <v/>
      </c>
      <c r="I19" s="31" t="str">
        <f t="shared" ref="I19:J19" si="12">M8</f>
        <v/>
      </c>
      <c r="J19" s="223" t="str">
        <f t="shared" si="12"/>
        <v/>
      </c>
      <c r="K19" s="36" t="str">
        <f>IFERROR(O8/$G8,"")</f>
        <v/>
      </c>
      <c r="L19" s="36" t="str">
        <f t="shared" ref="L19:O19" si="13">IFERROR(P8/$G8,"")</f>
        <v/>
      </c>
      <c r="M19" s="36" t="str">
        <f t="shared" si="13"/>
        <v/>
      </c>
      <c r="N19" s="36" t="str">
        <f t="shared" si="13"/>
        <v/>
      </c>
      <c r="O19" s="37" t="str">
        <f t="shared" si="13"/>
        <v/>
      </c>
      <c r="P19" s="219"/>
    </row>
    <row r="20" spans="1:16" x14ac:dyDescent="0.3">
      <c r="A20" s="5" t="str">
        <f>A19</f>
        <v>Tagalog</v>
      </c>
      <c r="B20" s="8" t="s">
        <v>81</v>
      </c>
      <c r="C20" s="32" t="str">
        <f>IFERROR(G9/F9,"")</f>
        <v/>
      </c>
      <c r="D20" s="32" t="str">
        <f t="shared" si="11"/>
        <v/>
      </c>
      <c r="E20" s="32" t="str">
        <f t="shared" si="11"/>
        <v/>
      </c>
      <c r="F20" s="32" t="str">
        <f t="shared" si="11"/>
        <v/>
      </c>
      <c r="G20" s="32" t="str">
        <f t="shared" si="11"/>
        <v/>
      </c>
      <c r="H20" s="32" t="str">
        <f>L9</f>
        <v/>
      </c>
      <c r="I20" s="32" t="str">
        <f t="shared" ref="I20" si="14">M9</f>
        <v/>
      </c>
      <c r="J20" s="224" t="str">
        <f t="shared" ref="J20" si="15">N9</f>
        <v/>
      </c>
      <c r="K20" s="38" t="str">
        <f>IFERROR(O9/$G9,"")</f>
        <v/>
      </c>
      <c r="L20" s="38" t="str">
        <f t="shared" ref="L20" si="16">IFERROR(P9/$G9,"")</f>
        <v/>
      </c>
      <c r="M20" s="38" t="str">
        <f t="shared" ref="M20" si="17">IFERROR(Q9/$G9,"")</f>
        <v/>
      </c>
      <c r="N20" s="38" t="str">
        <f t="shared" ref="N20" si="18">IFERROR(R9/$G9,"")</f>
        <v/>
      </c>
      <c r="O20" s="39" t="str">
        <f t="shared" ref="O20" si="19">IFERROR(S9/$G9,"")</f>
        <v/>
      </c>
      <c r="P20" s="219"/>
    </row>
    <row r="21" spans="1:16" ht="15" thickBot="1" x14ac:dyDescent="0.35">
      <c r="A21" s="33" t="str">
        <f>A20</f>
        <v>Tagalog</v>
      </c>
      <c r="B21" s="34" t="s">
        <v>82</v>
      </c>
      <c r="C21" s="35" t="str">
        <f>IFERROR(G13/F13,"")</f>
        <v/>
      </c>
      <c r="D21" s="35" t="str">
        <f t="shared" ref="D21:G21" si="20">IFERROR(H13/$G13,"")</f>
        <v/>
      </c>
      <c r="E21" s="35" t="str">
        <f t="shared" si="20"/>
        <v/>
      </c>
      <c r="F21" s="35" t="str">
        <f t="shared" si="20"/>
        <v/>
      </c>
      <c r="G21" s="35" t="str">
        <f t="shared" si="20"/>
        <v/>
      </c>
      <c r="H21" s="35" t="str">
        <f t="shared" ref="H21:J21" si="21">L13</f>
        <v/>
      </c>
      <c r="I21" s="35" t="str">
        <f t="shared" si="21"/>
        <v/>
      </c>
      <c r="J21" s="225" t="str">
        <f t="shared" si="21"/>
        <v/>
      </c>
      <c r="K21" s="226" t="str">
        <f>IFERROR(O13/$G13,"")</f>
        <v/>
      </c>
      <c r="L21" s="40" t="str">
        <f t="shared" ref="L21:O21" si="22">IFERROR(P13/$G13,"")</f>
        <v/>
      </c>
      <c r="M21" s="40" t="str">
        <f t="shared" si="22"/>
        <v/>
      </c>
      <c r="N21" s="40" t="str">
        <f t="shared" si="22"/>
        <v/>
      </c>
      <c r="O21" s="41" t="str">
        <f t="shared" si="22"/>
        <v/>
      </c>
      <c r="P21" s="219"/>
    </row>
    <row r="22" spans="1:16" x14ac:dyDescent="0.3">
      <c r="A22" s="12" t="str">
        <f>D11</f>
        <v>Filipino</v>
      </c>
      <c r="B22" s="227" t="s">
        <v>80</v>
      </c>
      <c r="C22" s="228" t="str">
        <f>IFERROR(G10/F10,"")</f>
        <v/>
      </c>
      <c r="D22" s="228" t="str">
        <f>IFERROR(H10/$G10,"")</f>
        <v/>
      </c>
      <c r="E22" s="228" t="str">
        <f t="shared" ref="E22:G22" si="23">IFERROR(I10/$G10,"")</f>
        <v/>
      </c>
      <c r="F22" s="228" t="str">
        <f t="shared" si="23"/>
        <v/>
      </c>
      <c r="G22" s="228" t="str">
        <f t="shared" si="23"/>
        <v/>
      </c>
      <c r="H22" s="228" t="str">
        <f t="shared" ref="H22:J22" si="24">L10</f>
        <v/>
      </c>
      <c r="I22" s="228" t="str">
        <f t="shared" si="24"/>
        <v/>
      </c>
      <c r="J22" s="229" t="str">
        <f t="shared" si="24"/>
        <v/>
      </c>
      <c r="K22" s="230" t="str">
        <f>IFERROR(O10/$G10,"")</f>
        <v/>
      </c>
      <c r="L22" s="230" t="str">
        <f t="shared" ref="L22:O22" si="25">IFERROR(P10/$G10,"")</f>
        <v/>
      </c>
      <c r="M22" s="230" t="str">
        <f t="shared" si="25"/>
        <v/>
      </c>
      <c r="N22" s="230" t="str">
        <f t="shared" si="25"/>
        <v/>
      </c>
      <c r="O22" s="231" t="str">
        <f t="shared" si="25"/>
        <v/>
      </c>
      <c r="P22" s="219"/>
    </row>
    <row r="23" spans="1:16" x14ac:dyDescent="0.3">
      <c r="A23" s="5" t="str">
        <f>A22</f>
        <v>Filipino</v>
      </c>
      <c r="B23" s="8" t="s">
        <v>81</v>
      </c>
      <c r="C23" s="32" t="str">
        <f>IFERROR(G11/F11,"")</f>
        <v/>
      </c>
      <c r="D23" s="32" t="str">
        <f>IFERROR(H11/$G11,"")</f>
        <v/>
      </c>
      <c r="E23" s="32" t="str">
        <f t="shared" ref="E23" si="26">IFERROR(I11/$G11,"")</f>
        <v/>
      </c>
      <c r="F23" s="32" t="str">
        <f t="shared" ref="F23" si="27">IFERROR(J11/$G11,"")</f>
        <v/>
      </c>
      <c r="G23" s="32" t="str">
        <f t="shared" ref="G23" si="28">IFERROR(K11/$G11,"")</f>
        <v/>
      </c>
      <c r="H23" s="31" t="str">
        <f t="shared" ref="H23" si="29">L11</f>
        <v/>
      </c>
      <c r="I23" s="31" t="str">
        <f t="shared" ref="I23" si="30">M11</f>
        <v/>
      </c>
      <c r="J23" s="223" t="str">
        <f t="shared" ref="J23" si="31">N11</f>
        <v/>
      </c>
      <c r="K23" s="38" t="str">
        <f>IFERROR(O11/$G11,"")</f>
        <v/>
      </c>
      <c r="L23" s="38" t="str">
        <f t="shared" ref="L23" si="32">IFERROR(P11/$G11,"")</f>
        <v/>
      </c>
      <c r="M23" s="38" t="str">
        <f t="shared" ref="M23" si="33">IFERROR(Q11/$G11,"")</f>
        <v/>
      </c>
      <c r="N23" s="38" t="str">
        <f t="shared" ref="N23" si="34">IFERROR(R11/$G11,"")</f>
        <v/>
      </c>
      <c r="O23" s="39" t="str">
        <f t="shared" ref="O23" si="35">IFERROR(S11/$G11,"")</f>
        <v/>
      </c>
      <c r="P23" s="219"/>
    </row>
    <row r="24" spans="1:16" ht="15" thickBot="1" x14ac:dyDescent="0.35">
      <c r="A24" s="33" t="str">
        <f>A23</f>
        <v>Filipino</v>
      </c>
      <c r="B24" s="34" t="s">
        <v>82</v>
      </c>
      <c r="C24" s="35" t="str">
        <f>IFERROR(G14/F14,"")</f>
        <v/>
      </c>
      <c r="D24" s="35" t="str">
        <f>IFERROR(H14/$G14,"")</f>
        <v/>
      </c>
      <c r="E24" s="35" t="str">
        <f t="shared" ref="E24:G24" si="36">IFERROR(I14/$G14,"")</f>
        <v/>
      </c>
      <c r="F24" s="35" t="str">
        <f t="shared" si="36"/>
        <v/>
      </c>
      <c r="G24" s="35" t="str">
        <f t="shared" si="36"/>
        <v/>
      </c>
      <c r="H24" s="35" t="str">
        <f t="shared" ref="H24:J24" si="37">L14</f>
        <v/>
      </c>
      <c r="I24" s="35" t="str">
        <f t="shared" si="37"/>
        <v/>
      </c>
      <c r="J24" s="225" t="str">
        <f t="shared" si="37"/>
        <v/>
      </c>
      <c r="K24" s="40" t="str">
        <f>IFERROR(O14/$G14,"")</f>
        <v/>
      </c>
      <c r="L24" s="40" t="str">
        <f t="shared" ref="L24:O24" si="38">IFERROR(P14/$G14,"")</f>
        <v/>
      </c>
      <c r="M24" s="40" t="str">
        <f t="shared" si="38"/>
        <v/>
      </c>
      <c r="N24" s="40" t="str">
        <f t="shared" si="38"/>
        <v/>
      </c>
      <c r="O24" s="41" t="str">
        <f t="shared" si="38"/>
        <v/>
      </c>
      <c r="P24" s="219"/>
    </row>
    <row r="25" spans="1:16" x14ac:dyDescent="0.3">
      <c r="A25" s="220"/>
      <c r="B25" s="220"/>
      <c r="C25" s="221"/>
      <c r="D25" s="221"/>
      <c r="E25" s="221"/>
      <c r="F25" s="221"/>
      <c r="G25" s="221"/>
      <c r="H25" s="221"/>
      <c r="I25" s="221"/>
      <c r="J25" s="221"/>
      <c r="K25" s="221"/>
      <c r="L25" s="221"/>
      <c r="M25" s="221"/>
      <c r="N25" s="221"/>
      <c r="O25" s="221"/>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sheetData>
  <sheetProtection algorithmName="SHA-512" hashValue="sj9IEOu8Eps0WacZ63qBWFY8W/wmCcDDrQYz09zKFN3UTdn76O11wuS89S+EaEQTAjc9eyeo7QGgd3Fkd5KsyQ==" saltValue="U2wIpWYiSwK8Kkhx2TUQhA==" spinCount="100000" sheet="1" objects="1" scenarios="1"/>
  <mergeCells count="17">
    <mergeCell ref="A4:B4"/>
    <mergeCell ref="A5:B5"/>
    <mergeCell ref="C5:E5"/>
    <mergeCell ref="A2:F2"/>
    <mergeCell ref="D17:G17"/>
    <mergeCell ref="A16:B16"/>
    <mergeCell ref="A6:A7"/>
    <mergeCell ref="D16:O16"/>
    <mergeCell ref="H17:J17"/>
    <mergeCell ref="K17:O17"/>
    <mergeCell ref="Q6:S6"/>
    <mergeCell ref="H6:K6"/>
    <mergeCell ref="D6:D7"/>
    <mergeCell ref="F6:F7"/>
    <mergeCell ref="G6:G7"/>
    <mergeCell ref="E6:E7"/>
    <mergeCell ref="L6:N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A7FAB-CB15-41F2-ACD9-5E0FA862256D}">
  <sheetPr codeName="Sheet6"/>
  <dimension ref="A2:E9"/>
  <sheetViews>
    <sheetView topLeftCell="A22" workbookViewId="0">
      <selection activeCell="A4" sqref="A4:XFD9"/>
    </sheetView>
  </sheetViews>
  <sheetFormatPr defaultRowHeight="14.4" x14ac:dyDescent="0.3"/>
  <cols>
    <col min="1" max="1" width="18.77734375" customWidth="1"/>
    <col min="2" max="2" width="24.33203125" customWidth="1"/>
    <col min="3" max="3" width="63.6640625" customWidth="1"/>
    <col min="5" max="5" width="29" customWidth="1"/>
  </cols>
  <sheetData>
    <row r="2" spans="1:5" x14ac:dyDescent="0.3">
      <c r="A2" t="s">
        <v>12</v>
      </c>
    </row>
    <row r="3" spans="1:5" ht="15" thickBot="1" x14ac:dyDescent="0.35"/>
    <row r="4" spans="1:5" ht="19.95" customHeight="1" x14ac:dyDescent="0.3">
      <c r="B4" s="194" t="s">
        <v>154</v>
      </c>
      <c r="C4" s="195" t="s">
        <v>155</v>
      </c>
      <c r="D4" s="377" t="s">
        <v>156</v>
      </c>
      <c r="E4" s="378"/>
    </row>
    <row r="5" spans="1:5" ht="30" customHeight="1" x14ac:dyDescent="0.3">
      <c r="B5" s="196" t="s">
        <v>157</v>
      </c>
      <c r="C5" s="197" t="s">
        <v>167</v>
      </c>
      <c r="D5" s="198"/>
      <c r="E5" s="199"/>
    </row>
    <row r="6" spans="1:5" ht="30" customHeight="1" x14ac:dyDescent="0.3">
      <c r="B6" s="196" t="s">
        <v>158</v>
      </c>
      <c r="C6" s="200" t="s">
        <v>168</v>
      </c>
      <c r="D6" s="198" t="s">
        <v>159</v>
      </c>
      <c r="E6" s="199" t="s">
        <v>160</v>
      </c>
    </row>
    <row r="7" spans="1:5" ht="30" customHeight="1" x14ac:dyDescent="0.3">
      <c r="B7" s="196" t="s">
        <v>161</v>
      </c>
      <c r="C7" s="200" t="s">
        <v>169</v>
      </c>
      <c r="D7" s="198" t="s">
        <v>150</v>
      </c>
      <c r="E7" s="199" t="s">
        <v>162</v>
      </c>
    </row>
    <row r="8" spans="1:5" ht="30" customHeight="1" x14ac:dyDescent="0.3">
      <c r="B8" s="201" t="s">
        <v>163</v>
      </c>
      <c r="C8" s="200" t="s">
        <v>170</v>
      </c>
      <c r="D8" s="198" t="s">
        <v>152</v>
      </c>
      <c r="E8" s="199" t="s">
        <v>164</v>
      </c>
    </row>
    <row r="9" spans="1:5" ht="30" customHeight="1" thickBot="1" x14ac:dyDescent="0.35">
      <c r="B9" s="202" t="s">
        <v>165</v>
      </c>
      <c r="C9" s="203" t="s">
        <v>171</v>
      </c>
      <c r="D9" s="204" t="s">
        <v>151</v>
      </c>
      <c r="E9" s="205" t="s">
        <v>166</v>
      </c>
    </row>
  </sheetData>
  <sheetProtection algorithmName="SHA-512" hashValue="8spLFcUizHVhUVa9S/62eSw0AAh7j7oOieDbk5WEcwlGSlrsf0qWv3OiV46Ia9DZCy8WTc9qiEDUWIVSmkbWNw==" saltValue="mj0cOt7PhaIhK3uUpMymWw==" spinCount="100000" sheet="1" selectLockedCells="1" selectUnlockedCells="1"/>
  <mergeCells count="1">
    <mergeCell ref="D4:E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A1:M35"/>
  <sheetViews>
    <sheetView topLeftCell="C1" workbookViewId="0">
      <selection activeCell="M12" sqref="M12"/>
    </sheetView>
  </sheetViews>
  <sheetFormatPr defaultRowHeight="14.4" x14ac:dyDescent="0.3"/>
  <cols>
    <col min="1" max="1" width="12.33203125" customWidth="1"/>
    <col min="2" max="2" width="22.77734375" customWidth="1"/>
    <col min="3" max="3" width="34.44140625" customWidth="1"/>
    <col min="4" max="4" width="9.33203125" customWidth="1"/>
    <col min="5" max="5" width="18.109375" style="1" customWidth="1"/>
    <col min="6" max="6" width="9.88671875" customWidth="1"/>
    <col min="7" max="7" width="22.88671875" customWidth="1"/>
    <col min="8" max="8" width="10.33203125" style="1" customWidth="1"/>
    <col min="9" max="9" width="19.5546875" style="3" customWidth="1"/>
    <col min="10" max="10" width="19.21875" style="1" customWidth="1"/>
    <col min="11" max="11" width="8.88671875" style="1"/>
    <col min="12" max="12" width="34.6640625" style="3" customWidth="1"/>
    <col min="13" max="13" width="8.88671875" style="1"/>
  </cols>
  <sheetData>
    <row r="1" spans="1:13" x14ac:dyDescent="0.3">
      <c r="A1" t="s">
        <v>95</v>
      </c>
      <c r="B1" s="9" t="s">
        <v>34</v>
      </c>
      <c r="C1" s="9" t="s">
        <v>21</v>
      </c>
      <c r="D1" s="9"/>
      <c r="F1" t="s">
        <v>118</v>
      </c>
      <c r="G1" t="s">
        <v>21</v>
      </c>
      <c r="H1" s="1" t="s">
        <v>113</v>
      </c>
      <c r="I1" s="3" t="s">
        <v>119</v>
      </c>
      <c r="J1" s="1" t="s">
        <v>120</v>
      </c>
      <c r="K1" s="1" t="s">
        <v>121</v>
      </c>
      <c r="L1" s="3" t="s">
        <v>119</v>
      </c>
      <c r="M1" s="1" t="s">
        <v>120</v>
      </c>
    </row>
    <row r="2" spans="1:13" x14ac:dyDescent="0.3">
      <c r="A2" s="20" t="s">
        <v>96</v>
      </c>
      <c r="B2" t="s">
        <v>35</v>
      </c>
      <c r="C2" s="10" t="s">
        <v>36</v>
      </c>
      <c r="D2" s="10">
        <v>1</v>
      </c>
      <c r="F2" t="s">
        <v>101</v>
      </c>
      <c r="G2" t="s">
        <v>14</v>
      </c>
      <c r="H2" s="1">
        <v>1</v>
      </c>
      <c r="I2" s="3" t="s">
        <v>122</v>
      </c>
      <c r="J2" s="1">
        <v>96</v>
      </c>
      <c r="K2" s="1">
        <v>2</v>
      </c>
      <c r="L2" s="3" t="s">
        <v>123</v>
      </c>
      <c r="M2" s="1">
        <v>94</v>
      </c>
    </row>
    <row r="3" spans="1:13" x14ac:dyDescent="0.3">
      <c r="A3" s="20" t="s">
        <v>97</v>
      </c>
      <c r="B3" t="s">
        <v>37</v>
      </c>
      <c r="C3" s="10" t="s">
        <v>38</v>
      </c>
      <c r="D3" s="10">
        <v>1</v>
      </c>
      <c r="F3" t="s">
        <v>101</v>
      </c>
      <c r="G3" t="s">
        <v>17</v>
      </c>
      <c r="H3" s="1">
        <v>1</v>
      </c>
      <c r="I3" s="3" t="s">
        <v>124</v>
      </c>
      <c r="J3" s="1">
        <v>96</v>
      </c>
      <c r="K3" s="1">
        <v>2</v>
      </c>
      <c r="L3" s="3" t="s">
        <v>125</v>
      </c>
      <c r="M3" s="1">
        <v>95</v>
      </c>
    </row>
    <row r="4" spans="1:13" x14ac:dyDescent="0.3">
      <c r="A4" s="20" t="s">
        <v>98</v>
      </c>
      <c r="B4" t="s">
        <v>39</v>
      </c>
      <c r="C4" s="10" t="s">
        <v>71</v>
      </c>
      <c r="D4" s="10"/>
      <c r="F4" t="s">
        <v>101</v>
      </c>
      <c r="G4" t="s">
        <v>16</v>
      </c>
      <c r="H4" s="1">
        <v>1</v>
      </c>
      <c r="I4" s="3" t="s">
        <v>128</v>
      </c>
      <c r="J4" s="1">
        <v>96</v>
      </c>
      <c r="K4" s="1">
        <v>2</v>
      </c>
      <c r="L4" s="3" t="s">
        <v>129</v>
      </c>
      <c r="M4" s="1">
        <v>95</v>
      </c>
    </row>
    <row r="5" spans="1:13" x14ac:dyDescent="0.3">
      <c r="A5" t="s">
        <v>99</v>
      </c>
      <c r="B5" t="s">
        <v>40</v>
      </c>
      <c r="C5" s="10" t="s">
        <v>72</v>
      </c>
      <c r="D5" s="10"/>
      <c r="F5" t="s">
        <v>101</v>
      </c>
      <c r="G5" t="s">
        <v>15</v>
      </c>
      <c r="H5" s="1">
        <v>1</v>
      </c>
      <c r="I5" s="3" t="s">
        <v>126</v>
      </c>
      <c r="J5" s="1">
        <v>95</v>
      </c>
      <c r="K5" s="1">
        <v>2</v>
      </c>
      <c r="L5" s="3" t="s">
        <v>127</v>
      </c>
      <c r="M5" s="1">
        <v>94</v>
      </c>
    </row>
    <row r="6" spans="1:13" x14ac:dyDescent="0.3">
      <c r="A6" s="20" t="s">
        <v>100</v>
      </c>
      <c r="B6" t="s">
        <v>42</v>
      </c>
      <c r="C6" s="10" t="s">
        <v>73</v>
      </c>
      <c r="D6" s="10"/>
      <c r="F6" t="s">
        <v>101</v>
      </c>
      <c r="G6" t="s">
        <v>108</v>
      </c>
      <c r="H6" s="1">
        <v>1</v>
      </c>
      <c r="I6" s="3" t="s">
        <v>124</v>
      </c>
      <c r="J6" s="1">
        <v>96</v>
      </c>
      <c r="K6" s="1">
        <v>2</v>
      </c>
      <c r="L6" s="3" t="s">
        <v>125</v>
      </c>
      <c r="M6" s="1">
        <v>95</v>
      </c>
    </row>
    <row r="7" spans="1:13" x14ac:dyDescent="0.3">
      <c r="B7" t="s">
        <v>43</v>
      </c>
      <c r="C7" s="10" t="s">
        <v>14</v>
      </c>
      <c r="D7" s="10">
        <v>1</v>
      </c>
      <c r="F7" t="s">
        <v>101</v>
      </c>
      <c r="G7" t="s">
        <v>65</v>
      </c>
      <c r="H7" s="1">
        <v>1</v>
      </c>
      <c r="I7" s="3" t="s">
        <v>136</v>
      </c>
      <c r="J7" s="1">
        <v>95</v>
      </c>
      <c r="K7" s="1">
        <v>2</v>
      </c>
      <c r="L7" s="3" t="s">
        <v>137</v>
      </c>
      <c r="M7" s="1">
        <v>95</v>
      </c>
    </row>
    <row r="8" spans="1:13" x14ac:dyDescent="0.3">
      <c r="B8" t="s">
        <v>45</v>
      </c>
      <c r="C8" t="s">
        <v>41</v>
      </c>
      <c r="D8">
        <v>1</v>
      </c>
      <c r="F8" t="s">
        <v>101</v>
      </c>
      <c r="G8" t="s">
        <v>13</v>
      </c>
      <c r="H8" s="1">
        <v>1</v>
      </c>
      <c r="I8" s="3" t="s">
        <v>138</v>
      </c>
      <c r="J8" s="1">
        <v>96</v>
      </c>
      <c r="K8" s="1">
        <v>2</v>
      </c>
      <c r="L8" s="3" t="s">
        <v>139</v>
      </c>
      <c r="M8" s="1">
        <v>94</v>
      </c>
    </row>
    <row r="9" spans="1:13" x14ac:dyDescent="0.3">
      <c r="B9" t="s">
        <v>47</v>
      </c>
      <c r="C9" s="10" t="s">
        <v>74</v>
      </c>
      <c r="D9" s="10"/>
      <c r="F9" t="s">
        <v>101</v>
      </c>
      <c r="G9" t="s">
        <v>36</v>
      </c>
      <c r="H9" s="1">
        <v>1</v>
      </c>
      <c r="I9" s="3" t="s">
        <v>140</v>
      </c>
      <c r="J9" s="1">
        <v>94</v>
      </c>
      <c r="K9" s="1">
        <v>2</v>
      </c>
      <c r="L9" s="3" t="s">
        <v>141</v>
      </c>
      <c r="M9" s="1">
        <v>94</v>
      </c>
    </row>
    <row r="10" spans="1:13" x14ac:dyDescent="0.3">
      <c r="B10" t="s">
        <v>49</v>
      </c>
      <c r="C10" s="10" t="s">
        <v>13</v>
      </c>
      <c r="D10" s="10">
        <v>1</v>
      </c>
      <c r="F10" t="s">
        <v>101</v>
      </c>
      <c r="G10" t="s">
        <v>117</v>
      </c>
      <c r="H10" s="1">
        <v>1</v>
      </c>
      <c r="I10" s="3" t="s">
        <v>142</v>
      </c>
      <c r="J10" s="1">
        <v>95</v>
      </c>
      <c r="K10" s="1">
        <v>2</v>
      </c>
      <c r="L10" s="3" t="s">
        <v>143</v>
      </c>
      <c r="M10" s="1">
        <v>95</v>
      </c>
    </row>
    <row r="11" spans="1:13" x14ac:dyDescent="0.3">
      <c r="B11" t="s">
        <v>51</v>
      </c>
      <c r="C11" s="10" t="s">
        <v>116</v>
      </c>
      <c r="D11" s="10"/>
      <c r="F11" t="s">
        <v>101</v>
      </c>
      <c r="G11" t="s">
        <v>55</v>
      </c>
      <c r="H11" s="1">
        <v>1</v>
      </c>
      <c r="I11" s="3" t="s">
        <v>148</v>
      </c>
      <c r="J11" s="1">
        <v>95</v>
      </c>
      <c r="K11" s="1">
        <v>2</v>
      </c>
      <c r="L11" s="3" t="s">
        <v>149</v>
      </c>
      <c r="M11" s="1">
        <v>95</v>
      </c>
    </row>
    <row r="12" spans="1:13" x14ac:dyDescent="0.3">
      <c r="B12" t="s">
        <v>53</v>
      </c>
      <c r="C12" s="10" t="s">
        <v>44</v>
      </c>
      <c r="D12" s="10">
        <v>1</v>
      </c>
      <c r="F12" t="s">
        <v>101</v>
      </c>
      <c r="G12" t="s">
        <v>116</v>
      </c>
      <c r="H12" s="1">
        <v>1</v>
      </c>
      <c r="I12" s="3" t="s">
        <v>144</v>
      </c>
      <c r="J12" s="1">
        <v>95</v>
      </c>
      <c r="K12" s="1">
        <v>2</v>
      </c>
      <c r="L12" s="3" t="s">
        <v>145</v>
      </c>
      <c r="M12" s="1">
        <v>95</v>
      </c>
    </row>
    <row r="13" spans="1:13" x14ac:dyDescent="0.3">
      <c r="B13" t="s">
        <v>54</v>
      </c>
      <c r="C13" s="10" t="s">
        <v>46</v>
      </c>
      <c r="D13" s="10">
        <v>1</v>
      </c>
    </row>
    <row r="14" spans="1:13" x14ac:dyDescent="0.3">
      <c r="B14" t="s">
        <v>56</v>
      </c>
      <c r="C14" s="11" t="s">
        <v>48</v>
      </c>
      <c r="D14" s="11"/>
    </row>
    <row r="15" spans="1:13" x14ac:dyDescent="0.3">
      <c r="B15" t="s">
        <v>58</v>
      </c>
      <c r="C15" s="11" t="s">
        <v>50</v>
      </c>
      <c r="D15" s="11">
        <v>1</v>
      </c>
    </row>
    <row r="16" spans="1:13" x14ac:dyDescent="0.3">
      <c r="B16" t="s">
        <v>59</v>
      </c>
      <c r="C16" s="10" t="s">
        <v>52</v>
      </c>
      <c r="D16" s="10">
        <v>1</v>
      </c>
    </row>
    <row r="17" spans="2:4" x14ac:dyDescent="0.3">
      <c r="B17" t="s">
        <v>61</v>
      </c>
      <c r="C17" s="11" t="s">
        <v>117</v>
      </c>
      <c r="D17" s="11">
        <v>1</v>
      </c>
    </row>
    <row r="18" spans="2:4" x14ac:dyDescent="0.3">
      <c r="B18" t="s">
        <v>63</v>
      </c>
      <c r="C18" s="10" t="s">
        <v>55</v>
      </c>
      <c r="D18" s="10">
        <v>1</v>
      </c>
    </row>
    <row r="19" spans="2:4" x14ac:dyDescent="0.3">
      <c r="C19" s="10" t="s">
        <v>57</v>
      </c>
      <c r="D19" s="10">
        <v>1</v>
      </c>
    </row>
    <row r="20" spans="2:4" x14ac:dyDescent="0.3">
      <c r="C20" s="11" t="s">
        <v>15</v>
      </c>
      <c r="D20" s="11"/>
    </row>
    <row r="21" spans="2:4" x14ac:dyDescent="0.3">
      <c r="C21" s="10" t="s">
        <v>60</v>
      </c>
      <c r="D21" s="10"/>
    </row>
    <row r="22" spans="2:4" x14ac:dyDescent="0.3">
      <c r="C22" s="10" t="s">
        <v>75</v>
      </c>
      <c r="D22" s="10"/>
    </row>
    <row r="23" spans="2:4" x14ac:dyDescent="0.3">
      <c r="C23" s="10" t="s">
        <v>77</v>
      </c>
      <c r="D23" s="10"/>
    </row>
    <row r="24" spans="2:4" x14ac:dyDescent="0.3">
      <c r="C24" s="10" t="s">
        <v>62</v>
      </c>
      <c r="D24" s="10">
        <v>1</v>
      </c>
    </row>
    <row r="25" spans="2:4" x14ac:dyDescent="0.3">
      <c r="C25" t="s">
        <v>16</v>
      </c>
    </row>
    <row r="26" spans="2:4" x14ac:dyDescent="0.3">
      <c r="C26" t="s">
        <v>64</v>
      </c>
      <c r="D26">
        <v>1</v>
      </c>
    </row>
    <row r="27" spans="2:4" x14ac:dyDescent="0.3">
      <c r="C27" t="s">
        <v>65</v>
      </c>
      <c r="D27">
        <v>1</v>
      </c>
    </row>
    <row r="28" spans="2:4" x14ac:dyDescent="0.3">
      <c r="C28" t="s">
        <v>76</v>
      </c>
    </row>
    <row r="29" spans="2:4" x14ac:dyDescent="0.3">
      <c r="C29" t="s">
        <v>66</v>
      </c>
    </row>
    <row r="30" spans="2:4" x14ac:dyDescent="0.3">
      <c r="C30" t="s">
        <v>67</v>
      </c>
      <c r="D30">
        <v>1</v>
      </c>
    </row>
    <row r="31" spans="2:4" x14ac:dyDescent="0.3">
      <c r="C31" t="s">
        <v>17</v>
      </c>
      <c r="D31">
        <v>1</v>
      </c>
    </row>
    <row r="32" spans="2:4" x14ac:dyDescent="0.3">
      <c r="C32" t="s">
        <v>68</v>
      </c>
      <c r="D32">
        <v>1</v>
      </c>
    </row>
    <row r="33" spans="3:4" x14ac:dyDescent="0.3">
      <c r="C33" t="s">
        <v>78</v>
      </c>
    </row>
    <row r="34" spans="3:4" x14ac:dyDescent="0.3">
      <c r="C34" t="s">
        <v>69</v>
      </c>
      <c r="D34">
        <v>1</v>
      </c>
    </row>
    <row r="35" spans="3:4" x14ac:dyDescent="0.3">
      <c r="C35" t="s">
        <v>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0F74CC-5DFF-417A-B2F6-72C59B026C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G2 MT Reading Scoresheet</vt:lpstr>
      <vt:lpstr>G2 FIL Reading Scoresheet</vt:lpstr>
      <vt:lpstr>Class Record</vt:lpstr>
      <vt:lpstr>Class Summary</vt:lpstr>
      <vt:lpstr>Scoring Reference</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Monroy</dc:creator>
  <cp:lastModifiedBy>Emil Monroy</cp:lastModifiedBy>
  <cp:lastPrinted>2021-08-18T02:11:00Z</cp:lastPrinted>
  <dcterms:created xsi:type="dcterms:W3CDTF">2021-07-15T02:28:12Z</dcterms:created>
  <dcterms:modified xsi:type="dcterms:W3CDTF">2025-10-10T06:07:39Z</dcterms:modified>
</cp:coreProperties>
</file>